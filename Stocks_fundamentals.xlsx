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5cc860ba0efd68/GitHub/equity_research/"/>
    </mc:Choice>
  </mc:AlternateContent>
  <xr:revisionPtr revIDLastSave="89" documentId="8_{46F93A60-A761-4650-86FD-7E9C13053220}" xr6:coauthVersionLast="47" xr6:coauthVersionMax="47" xr10:uidLastSave="{4D0B01A5-547A-49B1-A1C6-A155418E580F}"/>
  <bookViews>
    <workbookView xWindow="-96" yWindow="-96" windowWidth="23232" windowHeight="12432" xr2:uid="{00000000-000D-0000-FFFF-FFFF00000000}"/>
  </bookViews>
  <sheets>
    <sheet name="Overview" sheetId="1" r:id="rId1"/>
    <sheet name="AMZN" sheetId="2" r:id="rId2"/>
    <sheet name="BPER" sheetId="3" r:id="rId3"/>
    <sheet name="BUZZI" sheetId="4" r:id="rId4"/>
    <sheet name="NV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0" i="1"/>
  <c r="G11" i="1"/>
  <c r="G12" i="1"/>
  <c r="G13" i="1"/>
  <c r="G10" i="1"/>
  <c r="F11" i="1"/>
  <c r="F12" i="1"/>
  <c r="F13" i="1"/>
  <c r="F10" i="1"/>
  <c r="E11" i="1"/>
  <c r="E12" i="1"/>
  <c r="E13" i="1"/>
  <c r="E10" i="1"/>
  <c r="D11" i="1"/>
  <c r="D12" i="1"/>
  <c r="D13" i="1"/>
  <c r="D10" i="1"/>
  <c r="C13" i="1"/>
  <c r="C12" i="1"/>
  <c r="C10" i="1"/>
  <c r="B11" i="1"/>
  <c r="B12" i="1"/>
  <c r="B13" i="1"/>
  <c r="B10" i="1"/>
  <c r="H2" i="1"/>
  <c r="K5" i="1"/>
  <c r="K4" i="1"/>
  <c r="K3" i="1"/>
  <c r="K2" i="1"/>
  <c r="L5" i="1"/>
  <c r="L4" i="1"/>
  <c r="L3" i="1"/>
  <c r="L2" i="1"/>
  <c r="B3" i="1" a="1"/>
  <c r="B3" i="1" s="1"/>
  <c r="B5" i="1" a="1"/>
  <c r="B5" i="1" s="1"/>
  <c r="B2" i="1" a="1"/>
  <c r="B2" i="1" s="1"/>
  <c r="M5" i="1"/>
  <c r="M4" i="1"/>
  <c r="M3" i="1"/>
  <c r="M2" i="1"/>
  <c r="J5" i="1"/>
  <c r="J4" i="1"/>
  <c r="J3" i="1"/>
  <c r="J2" i="1"/>
  <c r="I5" i="1"/>
  <c r="I4" i="1"/>
  <c r="I3" i="1"/>
  <c r="I2" i="1"/>
  <c r="H5" i="1"/>
  <c r="H4" i="1"/>
  <c r="G5" i="1"/>
  <c r="G4" i="1"/>
  <c r="G3" i="1"/>
  <c r="G2" i="1"/>
  <c r="E2" i="1"/>
  <c r="E5" i="1"/>
  <c r="E4" i="1"/>
  <c r="E3" i="1"/>
  <c r="C5" i="1" a="1"/>
  <c r="C5" i="1" s="1"/>
  <c r="D5" i="1" s="1"/>
  <c r="C3" i="1" a="1"/>
  <c r="C3" i="1" s="1"/>
  <c r="D3" i="1" s="1"/>
  <c r="F3" i="1" s="1"/>
  <c r="C4" i="1" a="1"/>
  <c r="C4" i="1" s="1"/>
  <c r="D4" i="1" s="1"/>
  <c r="C2" i="1" a="1"/>
  <c r="C2" i="1" s="1"/>
  <c r="D2" i="1" s="1"/>
  <c r="F2" i="1" l="1"/>
  <c r="F4" i="1"/>
  <c r="F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<sst xmlns="http://schemas.openxmlformats.org/spreadsheetml/2006/main" count="166" uniqueCount="63">
  <si>
    <t>Company</t>
  </si>
  <si>
    <t>EBITDA Margin (%)</t>
  </si>
  <si>
    <t>EV/EBITDA</t>
  </si>
  <si>
    <t>P/E</t>
  </si>
  <si>
    <t>P/B</t>
  </si>
  <si>
    <t>FCF Yield (%)</t>
  </si>
  <si>
    <t>Income Statement (in Bil, except ratios)</t>
  </si>
  <si>
    <t>03/31/2025</t>
  </si>
  <si>
    <t>Revenue</t>
  </si>
  <si>
    <t>Revenue Growth %</t>
  </si>
  <si>
    <t>Gross Profit</t>
  </si>
  <si>
    <t>Gross Profit Margin %</t>
  </si>
  <si>
    <t>Operating Income</t>
  </si>
  <si>
    <t>Operating Margin %</t>
  </si>
  <si>
    <t>EBIT</t>
  </si>
  <si>
    <t>EBIT Margin %</t>
  </si>
  <si>
    <t>EBITDA</t>
  </si>
  <si>
    <t>EBITDA Margin %</t>
  </si>
  <si>
    <t>Net Income</t>
  </si>
  <si>
    <t>Net Profit Margin %</t>
  </si>
  <si>
    <t>Basic EPS</t>
  </si>
  <si>
    <t>Diluted EPS</t>
  </si>
  <si>
    <t>Normalized EPS</t>
  </si>
  <si>
    <t>Total Dividends per Share</t>
  </si>
  <si>
    <t>—</t>
  </si>
  <si>
    <t>Balance Sheet (in Bil, except ratios)</t>
  </si>
  <si>
    <t>Total Assets</t>
  </si>
  <si>
    <t>Total Liabilities</t>
  </si>
  <si>
    <t>Total Debt</t>
  </si>
  <si>
    <t>Total Equity</t>
  </si>
  <si>
    <t>Cash And Cash Equivalents</t>
  </si>
  <si>
    <t>Working Capital</t>
  </si>
  <si>
    <t>Shares Outstanding (Bil)</t>
  </si>
  <si>
    <t>Book Value Per Share</t>
  </si>
  <si>
    <t>Total Debt To Equity</t>
  </si>
  <si>
    <t>Cash Flow Statement (in Bil, except ratios)</t>
  </si>
  <si>
    <t>Cash From Operating Activities</t>
  </si>
  <si>
    <t>Cash From Investing Activities</t>
  </si>
  <si>
    <t>Cash From Financing Activities</t>
  </si>
  <si>
    <t>Capital Expenditures</t>
  </si>
  <si>
    <t>Free Cash Flow</t>
  </si>
  <si>
    <t>Change in Cash</t>
  </si>
  <si>
    <t>Shares Outstanding (Mil)</t>
  </si>
  <si>
    <t>04/30/2025</t>
  </si>
  <si>
    <t>Market Cap</t>
  </si>
  <si>
    <t>Net Debt (in Bil)</t>
  </si>
  <si>
    <t>Market Cap (in Bil)</t>
  </si>
  <si>
    <t>EV (in Bil)</t>
  </si>
  <si>
    <t>Revenue (in Bil)</t>
  </si>
  <si>
    <t>EBITDA (in Bil)</t>
  </si>
  <si>
    <t>Net Income (in Bil)</t>
  </si>
  <si>
    <t>Free Cash Flow (in Bil)</t>
  </si>
  <si>
    <t>EPS (diluted)</t>
  </si>
  <si>
    <t>Price</t>
  </si>
  <si>
    <t>Book Value per share (in Bil)</t>
  </si>
  <si>
    <t>ROE</t>
  </si>
  <si>
    <t>ROIC</t>
  </si>
  <si>
    <t>Reinvestment rate (capex ratio)</t>
  </si>
  <si>
    <t>Book Value (total equity)</t>
  </si>
  <si>
    <t>BPER</t>
  </si>
  <si>
    <t>BUZZI</t>
  </si>
  <si>
    <t>NVIDIA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</si>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</sst>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[$$-409]* #,##0_);_([$$-409]* \(#,##0\);_([$$-409]* &quot;-&quot;_);_(@_)"/>
    <numFmt numFmtId="165" formatCode="_([$€-2]\ * #,##0_);_([$€-2]\ * \(#,##0\);_([$€-2]\ * &quot;-&quot;_);_(@_)"/>
    <numFmt numFmtId="166" formatCode="0.0"/>
    <numFmt numFmtId="167" formatCode="_([$$-409]* #,##0.00_);_([$$-409]* \(#,##0.00\);_([$$-409]* &quot;-&quot;??_);_(@_)"/>
    <numFmt numFmtId="168" formatCode="_([$€-2]\ * #,##0.00_);_([$€-2]\ * \(#,##0.00\);_([$€-2]\ * &quot;-&quot;_);_(@_)"/>
    <numFmt numFmtId="170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66666"/>
      <name val="Calibri"/>
      <family val="2"/>
      <scheme val="minor"/>
    </font>
    <font>
      <b/>
      <sz val="12"/>
      <color rgb="FF5E5E5E"/>
      <name val="Calibri"/>
      <family val="2"/>
      <scheme val="minor"/>
    </font>
    <font>
      <sz val="12"/>
      <color rgb="FF1E1E1E"/>
      <name val="Calibri"/>
      <family val="2"/>
      <scheme val="minor"/>
    </font>
    <font>
      <i/>
      <sz val="12"/>
      <color rgb="FF1E1E1E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7" fontId="4" fillId="0" borderId="0" xfId="0" applyNumberFormat="1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left" wrapText="1"/>
    </xf>
    <xf numFmtId="17" fontId="4" fillId="0" borderId="0" xfId="0" applyNumberFormat="1" applyFont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5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" fontId="5" fillId="0" borderId="0" xfId="0" applyNumberFormat="1" applyFont="1" applyAlignment="1">
      <alignment horizontal="left" vertical="top" wrapText="1"/>
    </xf>
    <xf numFmtId="9" fontId="6" fillId="0" borderId="0" xfId="1" applyFont="1" applyAlignment="1">
      <alignment horizontal="left" wrapText="1"/>
    </xf>
    <xf numFmtId="9" fontId="6" fillId="0" borderId="0" xfId="1" applyFont="1" applyAlignment="1">
      <alignment horizontal="left" vertical="top" wrapText="1"/>
    </xf>
    <xf numFmtId="2" fontId="0" fillId="0" borderId="0" xfId="0" applyNumberFormat="1"/>
    <xf numFmtId="166" fontId="5" fillId="0" borderId="0" xfId="0" applyNumberFormat="1" applyFont="1" applyAlignment="1">
      <alignment horizontal="left" vertical="top" wrapText="1"/>
    </xf>
    <xf numFmtId="10" fontId="6" fillId="0" borderId="0" xfId="0" applyNumberFormat="1" applyFont="1" applyAlignment="1">
      <alignment horizontal="left" vertical="top" wrapText="1"/>
    </xf>
    <xf numFmtId="10" fontId="6" fillId="0" borderId="0" xfId="0" applyNumberFormat="1" applyFont="1" applyAlignment="1">
      <alignment horizontal="left" wrapText="1"/>
    </xf>
    <xf numFmtId="167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0" fontId="0" fillId="0" borderId="0" xfId="1" applyNumberFormat="1" applyFont="1" applyBorder="1"/>
    <xf numFmtId="166" fontId="0" fillId="0" borderId="0" xfId="0" applyNumberFormat="1" applyBorder="1"/>
    <xf numFmtId="170" fontId="0" fillId="0" borderId="0" xfId="1" applyNumberFormat="1" applyFont="1" applyBorder="1"/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  <extLst>
        <x:ext xmlns:xlrvr="http://schemas.microsoft.com/office/spreadsheetml/2020/richvaluerefresh" uri="{6D21E516-79A1-49C6-A8DF-7D825B72F6C7}">
          <xlrvr:refreshIntervals>
            <xlrvr:refreshInterval resourceIdInt="268435456" interval="-1"/>
          </xlrvr:refreshIntervals>
        </x:ext>
      </extLst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2">
  <rv s="0">
    <v>https://www.bing.com/financeapi/forcetrigger?t=a1nhlh&amp;q=XNAS%3aAMZN&amp;form=skydnc</v>
    <v>Learn more on Bing</v>
  </rv>
  <rv s="1">
    <v>it-IT</v>
    <v>a1nhlh</v>
    <v>268435456</v>
    <v>1</v>
    <v>Con tecnologia Refinitiv</v>
    <v>0</v>
    <v>1</v>
    <v>AMAZON.COM, INC. (XNAS:AMZN)</v>
    <v>3</v>
    <v>4</v>
    <v>Finance</v>
    <v>5</v>
    <v>1996</v>
    <v>204.98</v>
    <v>10616350000</v>
    <v>1.3393999999999999</v>
    <v>2176459000000</v>
    <v>205.01</v>
    <v>Amazon.com, Inc. Fornisce una gamma di prodotti e servizi ai clienti. I prodotti offerti attraverso i suoi punti vendita includono prodotti e contenuti acquistati per la rivendita e prodotti offerti da venditori terzi. I segmenti della società comprendono Nord America, International e Amazon Web Services (AWS). Serve i consumatori attraverso i suoi negozi online e fisici e si concentra sulla selezione, il prezzo e la convenienza. I clienti accedono alle proprie offerte tramite i propri siti Web, app mobili, Alexa, dispositivi, streaming, e visitando fisicamente i suoi negozi. Produce e vende anche dispositivi elettronici, tra cui Kindle, Fire tablet, Fire TV, Echo, ring, Blink ed eero, e sviluppa e produce contenuti multimediali. Serve sviluppatori e imprese di tutte le dimensioni, comprese Start-up, agenzie governative e istituzioni accademiche, tramite AWS, che offre una serie di servizi tecnologici on-demand, tra cui elaborazione, storage, database, analisi, e l'apprendimento automatico e altri servizi.</v>
    <v>1560000</v>
    <v>Nasdaq Stock Market</v>
    <v>XNAS</v>
    <v>0</v>
    <v>206.92</v>
    <v>242.52</v>
    <v>202.68</v>
    <v>151.61000000000001</v>
    <v>AMAZON.COM, INC.</v>
    <v>AMAZON.COM, INC.</v>
    <v>45810.813003495314</v>
    <v>33.736199999999997</v>
    <v>206.85679999999999</v>
    <v>410 Terry Avenue North, SEATTLE, WA, 98109 US</v>
    <v>Diversified Retail</v>
    <v>XNAS</v>
    <v>AMZN</v>
    <v>Azionario</v>
    <v>AMAZON.COM, INC. (XNAS:AMZN)</v>
    <v>USD</v>
    <v>1.8468</v>
    <v>9.0080000000000004E-3</v>
    <v>21534643</v>
    <v>44153996</v>
  </rv>
  <rv s="2">
    <v>1</v>
  </rv>
  <rv s="0">
    <v>https://www.bing.com/financeapi/forcetrigger?t=aje8vh&amp;q=XMIL%3aBPE&amp;form=skydnc</v>
    <v>Learn more on Bing</v>
  </rv>
  <rv s="3">
    <v>it-IT</v>
    <v>aje8vh</v>
    <v>268435456</v>
    <v>1</v>
    <v>Con tecnologia Refinitiv</v>
    <v>6</v>
    <v>7</v>
    <v>BPER BANCA S.P.A. (XMIL:BPE)</v>
    <v>3</v>
    <v>8</v>
    <v>Finance</v>
    <v>9</v>
    <v>7.8239999999999998</v>
    <v>1421624000</v>
    <v>1.5492999999999999</v>
    <v>11105730000</v>
    <v>7.8120000000000003</v>
    <v>BPER BANCA S.P.A., già Banca Popolare dell'Emilia Romagna Società cooperativa, è un gruppo bancario italiano con sede in Italia, che offre servizi bancari tradizionali a privati, società, liberi professionisti ed enti pubblici. I suoi servizi bancari sono divisi in sette segmenti. Il segmento Private serve conti individuali e cointestati. Il segmento Retail si rivolge a ditte individuali, associazioni e società a responsabilità limitata, tra gli altri. Il segmento Corporate comprende la pubblica amministrazione, nonché società non finanziarie e non residenti. Il segmento Large Corporate copre i servizi bancari con clienti aziendali e associazioni. Il segmento Finance copre le attività di tesoreria e la gestione del portafoglio d‘investimento del Gruppo. Il segmento Corporate Center copre attività connesse alla governance del Gruppo, alle decisioni strategiche e ai relativi risultati, nonché attività non direttamente connesse ad altre aree dell‘impresa. La divisione Altre attività comprende i risultati delle società non bancarie del Gruppo.</v>
    <v>19231</v>
    <v>Borsa Italiana</v>
    <v>XMIL</v>
    <v>3</v>
    <v>7.8680000000000003</v>
    <v>8.0500000000000007</v>
    <v>7.6619999999999999</v>
    <v>4.26</v>
    <v>BPER BANCA S.P.A.</v>
    <v>BPER BANCA S.P.A.</v>
    <v>45810.666666666664</v>
    <v>7.9771000000000001</v>
    <v>7.7480000000000002</v>
    <v>Via San Carlo, 8/20, MODENA, MODENA, 41121 IT</v>
    <v>Banking Services</v>
    <v>XMIL</v>
    <v>BPE</v>
    <v>Azionario</v>
    <v>BPER BANCA S.P.A. (XMIL:BPE)</v>
    <v>EUR</v>
    <v>-6.4000000000000001E-2</v>
    <v>-8.1930000000000006E-3</v>
    <v>7768209</v>
    <v>13771580</v>
  </rv>
  <rv s="2">
    <v>4</v>
  </rv>
  <rv s="0">
    <v>https://www.bing.com/financeapi/forcetrigger?t=ayvmpr&amp;q=OTCM%3aBZZUY&amp;form=skydnc</v>
    <v>Learn more on Bing</v>
  </rv>
  <rv s="3">
    <v>it-IT</v>
    <v>ayvmpr</v>
    <v>268435456</v>
    <v>1</v>
    <v>Con tecnologia Refinitiv</v>
    <v>6</v>
    <v>7</v>
    <v>Buzzi SpA (OTCM:BZZUY)</v>
    <v>3</v>
    <v>10</v>
    <v>Finance</v>
    <v>11</v>
    <v>25.355</v>
    <v>192626100</v>
    <v>0.9274</v>
    <v>8710555000</v>
    <v>25.85</v>
    <v>Buzzi Spa, precedentemente nota come Buzzi Unicem Spa, è una società con sede in Italia impegnata nella produzione di materiali da costruzione. L'azienda opera principalmente nella produzione, distribuzione e vendita di cemento, calcestruzzo pronto all'uso e aggregati naturali. Le attività della società sono ubicate in Italia, Stati Uniti, Germania, Lussemburgo e Paesi Bassi, Polonia, Repubblica ceca e Slovacchia, Ucraina, Russia, Messico, Brasile, e l'Algeria. Le tre principali aree geografiche con la maggiore generazione di entrate sono: Stati Uniti, Germania e Messico. L'azienda è inoltre impegnata nell'attività di ricerca e sviluppo con l'obiettivo di sviluppare e sperimentare innovazioni da utilizzare nella filiera produttiva e per i propri prodotti. Questa attività viene svolta in collaborazione con centri di ricerca nazionali, università e laboratori privati.</v>
    <v>10061</v>
    <v>OTC Markets</v>
    <v>OTCM</v>
    <v>6</v>
    <v>25.63</v>
    <v>29.487500000000001</v>
    <v>25.355</v>
    <v>17.649999999999999</v>
    <v>Buzzi SpA</v>
    <v>Buzzi SpA</v>
    <v>45810.790938171092</v>
    <v>0</v>
    <v>25.63</v>
    <v>Via Luigi Buzzi, 6, CASALE MONFERRATO, ALESSANDRIA, 15033 IT</v>
    <v>Construction Materials</v>
    <v>OTCM</v>
    <v>BZZUY</v>
    <v>Azionario</v>
    <v>Buzzi SpA (OTCM:BZZUY)</v>
    <v>USD</v>
    <v>-0.22</v>
    <v>-8.5109999999999995E-3</v>
    <v>4672</v>
    <v>288300</v>
  </rv>
  <rv s="2">
    <v>7</v>
  </rv>
  <rv s="0">
    <v>https://www.bing.com/financeapi/forcetrigger?t=a1yv52&amp;q=XNAS%3aNVDA&amp;form=skydnc</v>
    <v>Learn more on Bing</v>
  </rv>
  <rv s="1">
    <v>it-IT</v>
    <v>a1yv52</v>
    <v>268435456</v>
    <v>1</v>
    <v>Con tecnologia Refinitiv</v>
    <v>0</v>
    <v>1</v>
    <v>NVIDIA CORPORATION (XNAS:NVDA)</v>
    <v>3</v>
    <v>4</v>
    <v>Finance</v>
    <v>5</v>
    <v>1998</v>
    <v>135.5</v>
    <v>24400000000</v>
    <v>2.1208999999999998</v>
    <v>3357269199999</v>
    <v>135.13</v>
    <v>NVIDIA Corporation è un'azienda di infrastrutture informatiche full-stack. L'azienda è impegnata nel computing accelerato per aiutare a risolvere i problemi computazionali più complessi. I segmenti dell'azienda includono computing, networking e grafica. Il segmento Compute &amp; Networking include le sue piattaforme informatiche accelerate per data center e soluzioni e software di intelligenza artificiale (ai); networking; piattaforme automobilistiche e soluzioni per veicoli elettrici ed autonomi; Jetson per robotica e altre piattaforme embedded e servizi di cloud computing DGX. Il segmento della grafica include GPU GeForce per giochi e PC, il servizio di streaming di giochi GeForce e la relativa infrastruttura, e soluzioni per piattaforme di gioco; GPU quadro/NVIDIA RTX per la grafica di workstation aziendali; software GPU virtuale per il computing virtuale e visivo basato su cloud; piattaforme automobilistiche per sistemi di infotainment e software Omniverse Enterprise per la costruzione e il funzionamento di IA industriale e applicazioni gemelle digitali.</v>
    <v>36000</v>
    <v>Nasdaq Stock Market</v>
    <v>XNAS</v>
    <v>9</v>
    <v>138.12</v>
    <v>153.13</v>
    <v>135.41999999999999</v>
    <v>86.62</v>
    <v>NVIDIA CORPORATION</v>
    <v>NVIDIA CORPORATION</v>
    <v>45810.813025010939</v>
    <v>44.320500000000003</v>
    <v>137.59299999999999</v>
    <v>2788 San Tomas Expressway, SANTA CLARA, CA, 95051 US</v>
    <v>Semiconductors &amp; Semiconductor Equipment</v>
    <v>XNAS</v>
    <v>NVDA</v>
    <v>Azionario</v>
    <v>NVIDIA CORPORATION (XNAS:NVDA)</v>
    <v>USD</v>
    <v>2.4630000000000001</v>
    <v>1.8227E-2</v>
    <v>147280209</v>
    <v>224940328</v>
  </rv>
  <rv s="2">
    <v>10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nno costituita"/>
    <k n="Apri"/>
    <k n="Azioni in circolazione"/>
    <k n="Beta"/>
    <k n="Capitalizzazione di mercato"/>
    <k n="Chiusura precedente"/>
    <k n="Descrizione" t="s"/>
    <k n="Dipendenti"/>
    <k n="Exchange" t="s"/>
    <k n="ExchangeID" t="s"/>
    <k n="LearnMoreOnLink" t="r"/>
    <k n="Massimo"/>
    <k n="Massimo in 52 settimane"/>
    <k n="Minimo"/>
    <k n="Minimo di 52 settimane"/>
    <k n="Nome" t="s"/>
    <k n="Nome ufficiale" t="s"/>
    <k n="Orario ultima transazione"/>
    <k n="P/U"/>
    <k n="Prezzo"/>
    <k n="Sede centrale" t="s"/>
    <k n="Settore" t="s"/>
    <k n="Simbolo azionario" t="s"/>
    <k n="Simbolo dell'azione" t="s"/>
    <k n="Tipo strumento" t="s"/>
    <k n="UniqueName" t="s"/>
    <k n="Valuta" t="s"/>
    <k n="Variazione"/>
    <k n="Variazione (%)"/>
    <k n="Volume"/>
    <k n="Volume medio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ri"/>
    <k n="Azioni in circolazione"/>
    <k n="Beta"/>
    <k n="Capitalizzazione di mercato"/>
    <k n="Chiusura precedente"/>
    <k n="Descrizione" t="s"/>
    <k n="Dipendenti"/>
    <k n="Exchange" t="s"/>
    <k n="ExchangeID" t="s"/>
    <k n="LearnMoreOnLink" t="r"/>
    <k n="Massimo"/>
    <k n="Massimo in 52 settimane"/>
    <k n="Minimo"/>
    <k n="Minimo di 52 settimane"/>
    <k n="Nome" t="s"/>
    <k n="Nome ufficiale" t="s"/>
    <k n="Orario ultima transazione"/>
    <k n="P/U"/>
    <k n="Prezzo"/>
    <k n="Sede centrale" t="s"/>
    <k n="Settore" t="s"/>
    <k n="Simbolo azionario" t="s"/>
    <k n="Simbolo dell'azione" t="s"/>
    <k n="Tipo strumento" t="s"/>
    <k n="UniqueName" t="s"/>
    <k n="Valuta" t="s"/>
    <k n="Variazione"/>
    <k n="Variazione (%)"/>
    <k n="Volume"/>
    <k n="Volume medio"/>
  </s>
</rvStructures>
</file>

<file path=xl/richData/rdsupportingpropertybag.xml><?xml version="1.0" encoding="utf-8"?>
<supportingPropertyBags xmlns="http://schemas.microsoft.com/office/spreadsheetml/2017/richdata2">
  <spbArrays count="2">
    <a count="4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Prezzo</v>
      <v t="s">Exchange</v>
      <v t="s">Nome ufficiale</v>
      <v t="s">Orario ultima transazione</v>
      <v t="s">Simbolo dell'azione</v>
      <v t="s">Simbolo azionario</v>
      <v t="s">Variazione</v>
      <v t="s">Variazione (%)</v>
      <v t="s">Valuta</v>
      <v t="s">Chiusura precedente</v>
      <v t="s">Apri</v>
      <v t="s">Massimo</v>
      <v t="s">Minimo</v>
      <v t="s">Massimo in 52 settimane</v>
      <v t="s">Minimo di 52 settimane</v>
      <v t="s">Volume</v>
      <v t="s">Volume medio</v>
      <v t="s">Capitalizzazione di mercato</v>
      <v t="s">Beta</v>
      <v t="s">P/U</v>
      <v t="s">Azioni in circolazione</v>
      <v t="s">Descrizione</v>
      <v t="s">Dipendenti</v>
      <v t="s">Sede centrale</v>
      <v t="s">Settore</v>
      <v t="s">Tipo strumento</v>
      <v t="s">Anno costituita</v>
      <v t="s">_Flags</v>
      <v t="s">UniqueName</v>
      <v t="s">_DisplayString</v>
      <v t="s">LearnMoreOnLink</v>
      <v t="s">ExchangeID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Prezzo</v>
      <v t="s">Exchange</v>
      <v t="s">Nome ufficiale</v>
      <v t="s">Orario ultima transazione</v>
      <v t="s">Simbolo dell'azione</v>
      <v t="s">Simbolo azionario</v>
      <v t="s">Variazione</v>
      <v t="s">Variazione (%)</v>
      <v t="s">Valuta</v>
      <v t="s">Chiusura precedente</v>
      <v t="s">Apri</v>
      <v t="s">Massimo</v>
      <v t="s">Minimo</v>
      <v t="s">Massimo in 52 settimane</v>
      <v t="s">Minimo di 52 settimane</v>
      <v t="s">Volume</v>
      <v t="s">Volume medio</v>
      <v t="s">Capitalizzazione di mercato</v>
      <v t="s">Beta</v>
      <v t="s">P/U</v>
      <v t="s">Azioni in circolazione</v>
      <v t="s">Descrizione</v>
      <v t="s">Dipendenti</v>
      <v t="s">Sede centrale</v>
      <v t="s">Settore</v>
      <v t="s">Tipo strumento</v>
      <v t="s">_Flags</v>
      <v t="s">UniqueName</v>
      <v t="s">_DisplayString</v>
      <v t="s">LearnMoreOnLink</v>
      <v t="s">ExchangeID</v>
      <v t="s">%ProviderInfo</v>
    </a>
  </spbArrays>
  <spbData count="12">
    <spb s="0">
      <v>P/E</v>
      <v>Open</v>
      <v>Beta</v>
      <v>Name</v>
      <v>Low</v>
      <v>Price</v>
      <v>Currency</v>
      <v>Volume</v>
      <v>High</v>
      <v>Industry</v>
      <v>Exchange</v>
      <v>Employees</v>
      <v>ExchangeID</v>
      <v>UniqueName</v>
      <v>Change</v>
      <v>Description</v>
      <v>Volume average</v>
      <v>%ProviderInfo</v>
      <v>Headquarters</v>
      <v>Official name</v>
      <v>Instrument type</v>
      <v>Change (%)</v>
      <v>Year incorporated</v>
      <v>LearnMoreOnLink</v>
      <v>Exchange abbreviation</v>
      <v>Previous close</v>
      <v>Ticker symbol</v>
      <v>Shares outstanding</v>
      <v>52 week low</v>
      <v>52 week high</v>
      <v>Last trade time</v>
      <v>Market cap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1</v>
      <v>3</v>
      <v>2</v>
      <v>2</v>
      <v>4</v>
      <v>2</v>
      <v>4</v>
      <v>2</v>
      <v>4</v>
      <v>5</v>
      <v>6</v>
      <v>7</v>
      <v>2</v>
      <v>4</v>
      <v>2</v>
      <v>2</v>
      <v>8</v>
      <v>9</v>
    </spb>
    <spb s="5">
      <v>Tempo reale Nasdaq Ultima vendita</v>
      <v>Origine: Nasdaq Ultima vendita</v>
      <v xml:space="preserve">dalla chiusura precedente </v>
      <v xml:space="preserve">dalla chiusura precedente </v>
      <v>GMT</v>
    </spb>
    <spb s="6">
      <v>P/E</v>
      <v>Open</v>
      <v>Beta</v>
      <v>Name</v>
      <v>Low</v>
      <v>Price</v>
      <v>Currency</v>
      <v>Volume</v>
      <v>High</v>
      <v>Industry</v>
      <v>Exchange</v>
      <v>Employees</v>
      <v>ExchangeID</v>
      <v>UniqueName</v>
      <v>Change</v>
      <v>Description</v>
      <v>Volume average</v>
      <v>%ProviderInfo</v>
      <v>Headquarters</v>
      <v>Official name</v>
      <v>Instrument type</v>
      <v>Change (%)</v>
      <v>LearnMoreOnLink</v>
      <v>Exchange abbreviation</v>
      <v>Previous close</v>
      <v>Ticker symbol</v>
      <v>Shares outstanding</v>
      <v>52 week low</v>
      <v>52 week high</v>
      <v>Last trade time</v>
      <v>Market cap</v>
    </spb>
    <spb s="1">
      <v>1</v>
      <v>Name</v>
      <v>LearnMoreOnLink</v>
    </spb>
    <spb s="7">
      <v>1</v>
      <v>10</v>
      <v>1</v>
      <v>3</v>
      <v>10</v>
      <v>10</v>
      <v>4</v>
      <v>10</v>
      <v>4</v>
      <v>10</v>
      <v>4</v>
      <v>5</v>
      <v>7</v>
      <v>10</v>
      <v>4</v>
      <v>10</v>
      <v>10</v>
      <v>8</v>
      <v>11</v>
    </spb>
    <spb s="5">
      <v>Ritardato di 15 minuti</v>
      <v>Borsa Italia</v>
      <v xml:space="preserve">dalla chiusura precedente </v>
      <v xml:space="preserve">dalla chiusura precedente </v>
      <v>GMT</v>
    </spb>
    <spb s="7">
      <v>1</v>
      <v>2</v>
      <v>1</v>
      <v>3</v>
      <v>2</v>
      <v>2</v>
      <v>4</v>
      <v>2</v>
      <v>4</v>
      <v>2</v>
      <v>4</v>
      <v>5</v>
      <v>7</v>
      <v>2</v>
      <v>4</v>
      <v>2</v>
      <v>2</v>
      <v>8</v>
      <v>11</v>
    </spb>
    <spb s="8">
      <v>Ritardato di 15 minuti</v>
      <v xml:space="preserve">dalla chiusura precedente </v>
      <v xml:space="preserve">dalla chiusura precedente </v>
      <v>GMT</v>
    </spb>
  </spbData>
</supportingPropertyBags>
</file>

<file path=xl/richData/rdsupportingpropertybagstructure.xml><?xml version="1.0" encoding="utf-8"?>
<spbStructures xmlns="http://schemas.microsoft.com/office/spreadsheetml/2017/richdata2" count="9">
  <s>
    <k n="P/U" t="s"/>
    <k n="Apri" t="s"/>
    <k n="Beta" t="s"/>
    <k n="Nome" t="s"/>
    <k n="Minimo" t="s"/>
    <k n="Prezzo" t="s"/>
    <k n="Valuta" t="s"/>
    <k n="Volume" t="s"/>
    <k n="Massimo" t="s"/>
    <k n="Settore" t="s"/>
    <k n="Exchange" t="s"/>
    <k n="Dipendenti" t="s"/>
    <k n="ExchangeID" t="s"/>
    <k n="UniqueName" t="s"/>
    <k n="Variazione" t="s"/>
    <k n="Descrizione" t="s"/>
    <k n="Volume medio" t="s"/>
    <k n="%ProviderInfo" t="s"/>
    <k n="Sede centrale" t="s"/>
    <k n="Nome ufficiale" t="s"/>
    <k n="Tipo strumento" t="s"/>
    <k n="Variazione (%)" t="s"/>
    <k n="Anno costituita" t="s"/>
    <k n="LearnMoreOnLink" t="s"/>
    <k n="Simbolo azionario" t="s"/>
    <k n="Chiusura precedente" t="s"/>
    <k n="Simbolo dell'azione" t="s"/>
    <k n="Azioni in circolazione" t="s"/>
    <k n="Minimo di 52 settimane" t="s"/>
    <k n="Massimo in 52 settimane" t="s"/>
    <k n="Orario ultima transazione" t="s"/>
    <k n="Capitalizzazione di mercat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P/U" t="i"/>
    <k n="Apri" t="i"/>
    <k n="Beta" t="i"/>
    <k n="Nome" t="i"/>
    <k n="Minimo" t="i"/>
    <k n="Prezzo" t="i"/>
    <k n="Volume" t="i"/>
    <k n="Massimo" t="i"/>
    <k n="Dipendenti" t="i"/>
    <k n="Variazione" t="i"/>
    <k n="Volume medio" t="i"/>
    <k n="Variazione (%)" t="i"/>
    <k n="Anno costituita" t="i"/>
    <k n="`%EntityServiceId" t="i"/>
    <k n="Chiusura precedente" t="i"/>
    <k n="Azioni in circolazione" t="i"/>
    <k n="Minimo di 52 settimane" t="i"/>
    <k n="Massimo in 52 settimane" t="i"/>
    <k n="Orario ultima transazione" t="i"/>
    <k n="Capitalizzazione di mercato" t="i"/>
  </s>
  <s>
    <k n="Prezzo" t="s"/>
    <k n="ExchangeID" t="s"/>
    <k n="Variazione" t="s"/>
    <k n="Variazione (%)" t="s"/>
    <k n="Orario ultima transazione" t="s"/>
  </s>
  <s>
    <k n="P/U" t="s"/>
    <k n="Apri" t="s"/>
    <k n="Beta" t="s"/>
    <k n="Nome" t="s"/>
    <k n="Minimo" t="s"/>
    <k n="Prezzo" t="s"/>
    <k n="Valuta" t="s"/>
    <k n="Volume" t="s"/>
    <k n="Massimo" t="s"/>
    <k n="Settore" t="s"/>
    <k n="Exchange" t="s"/>
    <k n="Dipendenti" t="s"/>
    <k n="ExchangeID" t="s"/>
    <k n="UniqueName" t="s"/>
    <k n="Variazione" t="s"/>
    <k n="Descrizione" t="s"/>
    <k n="Volume medio" t="s"/>
    <k n="%ProviderInfo" t="s"/>
    <k n="Sede centrale" t="s"/>
    <k n="Nome ufficiale" t="s"/>
    <k n="Tipo strumento" t="s"/>
    <k n="Variazione (%)" t="s"/>
    <k n="LearnMoreOnLink" t="s"/>
    <k n="Simbolo azionario" t="s"/>
    <k n="Chiusura precedente" t="s"/>
    <k n="Simbolo dell'azione" t="s"/>
    <k n="Azioni in circolazione" t="s"/>
    <k n="Minimo di 52 settimane" t="s"/>
    <k n="Massimo in 52 settimane" t="s"/>
    <k n="Orario ultima transazione" t="s"/>
    <k n="Capitalizzazione di mercato" t="s"/>
  </s>
  <s>
    <k n="P/U" t="i"/>
    <k n="Apri" t="i"/>
    <k n="Beta" t="i"/>
    <k n="Nome" t="i"/>
    <k n="Minimo" t="i"/>
    <k n="Prezzo" t="i"/>
    <k n="Volume" t="i"/>
    <k n="Massimo" t="i"/>
    <k n="Dipendenti" t="i"/>
    <k n="Variazione" t="i"/>
    <k n="Volume medio" t="i"/>
    <k n="Variazione (%)" t="i"/>
    <k n="`%EntityServiceId" t="i"/>
    <k n="Chiusura precedente" t="i"/>
    <k n="Azioni in circolazione" t="i"/>
    <k n="Minimo di 52 settimane" t="i"/>
    <k n="Massimo in 52 settimane" t="i"/>
    <k n="Orario ultima transazione" t="i"/>
    <k n="Capitalizzazione di mercato" t="i"/>
  </s>
  <s>
    <k n="Prezzo" t="s"/>
    <k n="Variazione" t="s"/>
    <k n="Variazione (%)" t="s"/>
    <k n="Orario ultima transazion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5">
      <rpv i="0">#,##0.00</rpv>
    </rSty>
    <rSty dxfid="1">
      <rpv i="0">_([$$-en-US]* #,##0.00_);_([$$-en-US]* (#,##0.00);_([$$-en-US]* "-"??_);_(@_)</rpv>
    </rSty>
    <rSty>
      <rpv i="1">1</rpv>
    </rSty>
    <rSty dxfid="4">
      <rpv i="0">#,##0</rpv>
    </rSty>
    <rSty dxfid="3"/>
    <rSty dxfid="6">
      <rpv i="0">0</rpv>
    </rSty>
    <rSty dxfid="0">
      <rpv i="0">0.00</rpv>
    </rSty>
    <rSty dxfid="2"/>
    <rSty dxfid="1">
      <rpv i="0">_([$$-en-US]* #,##0_);_([$$-en-US]* (#,##0);_([$$-en-US]* "-"_);_(@_)</rpv>
    </rSty>
    <rSty dxfid="1">
      <rpv i="0">_([$€-x-euro2] * #,##0.00_);_([$€-x-euro2] * (#,##0.00);_([$€-x-euro2] * "-"??_);_(@_)</rpv>
    </rSty>
    <rSty dxfid="1">
      <rpv i="0">_([$€-x-euro2] * #,##0_);_([$€-x-euro2] * (#,##0);_([$€-x-euro2] * "-"_);_(@_)</rpv>
    </rSty>
  </richStyles>
</richStyleShee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A7" sqref="A7"/>
    </sheetView>
  </sheetViews>
  <sheetFormatPr defaultRowHeight="14.4" x14ac:dyDescent="0.55000000000000004"/>
  <cols>
    <col min="1" max="1" width="33.734375" customWidth="1"/>
    <col min="2" max="2" width="15.9453125" bestFit="1" customWidth="1"/>
    <col min="3" max="3" width="17.83984375" bestFit="1" customWidth="1"/>
    <col min="4" max="4" width="16.26171875" bestFit="1" customWidth="1"/>
    <col min="5" max="5" width="14.15625" bestFit="1" customWidth="1"/>
    <col min="6" max="6" width="11.05078125" bestFit="1" customWidth="1"/>
    <col min="7" max="7" width="14" bestFit="1" customWidth="1"/>
    <col min="8" max="8" width="12.578125" bestFit="1" customWidth="1"/>
    <col min="9" max="9" width="26.62890625" bestFit="1" customWidth="1"/>
    <col min="10" max="10" width="11.3671875" bestFit="1" customWidth="1"/>
    <col min="11" max="11" width="21.20703125" bestFit="1" customWidth="1"/>
    <col min="12" max="12" width="24.41796875" bestFit="1" customWidth="1"/>
    <col min="13" max="13" width="19.15625" bestFit="1" customWidth="1"/>
    <col min="14" max="14" width="16.26171875" bestFit="1" customWidth="1"/>
    <col min="15" max="15" width="9.5234375" bestFit="1" customWidth="1"/>
    <col min="16" max="17" width="4.15625" bestFit="1" customWidth="1"/>
    <col min="18" max="18" width="11.5234375" bestFit="1" customWidth="1"/>
  </cols>
  <sheetData>
    <row r="1" spans="1:22" x14ac:dyDescent="0.55000000000000004">
      <c r="A1" s="29" t="s">
        <v>0</v>
      </c>
      <c r="B1" s="1" t="s">
        <v>53</v>
      </c>
      <c r="C1" s="1" t="s">
        <v>44</v>
      </c>
      <c r="D1" s="1" t="s">
        <v>46</v>
      </c>
      <c r="E1" s="1" t="s">
        <v>45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52</v>
      </c>
      <c r="K1" s="1" t="s">
        <v>58</v>
      </c>
      <c r="L1" s="1" t="s">
        <v>54</v>
      </c>
      <c r="M1" s="39" t="s">
        <v>51</v>
      </c>
      <c r="N1" s="30"/>
      <c r="O1" s="30"/>
      <c r="P1" s="30"/>
      <c r="Q1" s="30"/>
      <c r="R1" s="30"/>
      <c r="S1" s="31"/>
      <c r="T1" s="31"/>
      <c r="U1" s="31"/>
      <c r="V1" s="35"/>
    </row>
    <row r="2" spans="1:22" x14ac:dyDescent="0.55000000000000004">
      <c r="A2" t="e" vm="1">
        <v>#VALUE!</v>
      </c>
      <c r="B2" s="27" cm="1">
        <f t="array" aca="1" ref="B2" ca="1">_FV(A2,"Prezzo")</f>
        <v>206.85679999999999</v>
      </c>
      <c r="C2" s="18" cm="1">
        <f t="array" aca="1" ref="C2" ca="1">_FV(A2,"Capitalizzazione di mercato",TRUE)</f>
        <v>2176459000000</v>
      </c>
      <c r="D2" s="23">
        <f ca="1">C2/1000000000</f>
        <v>2176.4589999999998</v>
      </c>
      <c r="E2" s="23">
        <f>(AMZN!G22-AMZN!G24)</f>
        <v>67.040000000000006</v>
      </c>
      <c r="F2" s="23">
        <f ca="1">D2+E2</f>
        <v>2243.4989999999998</v>
      </c>
      <c r="G2" s="23">
        <f>AMZN!G2</f>
        <v>650.30999999999995</v>
      </c>
      <c r="H2" s="23">
        <f>AMZN!G10</f>
        <v>130.24</v>
      </c>
      <c r="I2" s="23">
        <f>AMZN!G12</f>
        <v>65.94</v>
      </c>
      <c r="J2" s="23">
        <f>AMZN!G15</f>
        <v>6.14</v>
      </c>
      <c r="K2" s="23">
        <f>AMZN!G23</f>
        <v>305.87</v>
      </c>
      <c r="L2" s="23">
        <f>AMZN!G27</f>
        <v>28.82</v>
      </c>
      <c r="M2" s="23">
        <f>AMZN!G35</f>
        <v>42.22</v>
      </c>
      <c r="N2" s="32"/>
      <c r="O2" s="33"/>
      <c r="P2" s="33"/>
      <c r="Q2" s="33"/>
      <c r="R2" s="32"/>
      <c r="S2" s="34"/>
      <c r="T2" s="35"/>
      <c r="U2" s="32"/>
      <c r="V2" s="35"/>
    </row>
    <row r="3" spans="1:22" x14ac:dyDescent="0.55000000000000004">
      <c r="A3" t="e" vm="2">
        <v>#VALUE!</v>
      </c>
      <c r="B3" s="28" cm="1">
        <f t="array" aca="1" ref="B3" ca="1">_FV(A3,"Prezzo")</f>
        <v>7.7480000000000002</v>
      </c>
      <c r="C3" s="19" cm="1">
        <f t="array" aca="1" ref="C3" ca="1">_FV(A3,"Capitalizzazione di mercato",TRUE)</f>
        <v>11105730000</v>
      </c>
      <c r="D3" s="23">
        <f ca="1">C3/1000000000</f>
        <v>11.105729999999999</v>
      </c>
      <c r="E3" s="23">
        <f>BPER!G14-BPER!G16</f>
        <v>111.56</v>
      </c>
      <c r="F3" s="23">
        <f t="shared" ref="F3:F5" ca="1" si="0">D3+E3</f>
        <v>122.66573</v>
      </c>
      <c r="G3" s="23">
        <f>BPER!G2</f>
        <v>5.86</v>
      </c>
      <c r="I3" s="23">
        <f>BPER!G4</f>
        <v>1.39</v>
      </c>
      <c r="J3" s="23">
        <f>BPER!G7</f>
        <v>1.92</v>
      </c>
      <c r="K3" s="23">
        <f>BPER!G15</f>
        <v>11.99</v>
      </c>
      <c r="L3" s="23">
        <f>BPER!G18</f>
        <v>16.64</v>
      </c>
      <c r="M3" s="23">
        <f>BPER!G25</f>
        <v>2.66</v>
      </c>
      <c r="N3" s="32"/>
      <c r="O3" s="33"/>
      <c r="P3" s="33"/>
      <c r="Q3" s="33"/>
      <c r="R3" s="32"/>
      <c r="S3" s="34"/>
      <c r="T3" s="35"/>
      <c r="U3" s="32"/>
      <c r="V3" s="35"/>
    </row>
    <row r="4" spans="1:22" x14ac:dyDescent="0.55000000000000004">
      <c r="A4" t="e" vm="3">
        <v>#VALUE!</v>
      </c>
      <c r="B4" s="28">
        <v>44</v>
      </c>
      <c r="C4" s="19" cm="1">
        <f t="array" aca="1" ref="C4" ca="1">_FV(A4,"Capitalizzazione di mercato",TRUE)</f>
        <v>8710555000</v>
      </c>
      <c r="D4" s="23">
        <f ca="1">C4/1000000000</f>
        <v>8.7105549999999994</v>
      </c>
      <c r="E4" s="23">
        <f>BUZZI!G22-BUZZI!G24</f>
        <v>-0.43000000000000016</v>
      </c>
      <c r="F4" s="23">
        <f t="shared" ca="1" si="0"/>
        <v>8.2805549999999997</v>
      </c>
      <c r="G4" s="23">
        <f>BUZZI!G2</f>
        <v>4.3099999999999996</v>
      </c>
      <c r="H4" s="23">
        <f>BUZZI!G10</f>
        <v>1.32</v>
      </c>
      <c r="I4" s="23">
        <f>BUZZI!G12</f>
        <v>0.94</v>
      </c>
      <c r="J4" s="23">
        <f>BUZZI!G15</f>
        <v>5.0999999999999996</v>
      </c>
      <c r="K4" s="23">
        <f>BUZZI!G23</f>
        <v>5.63</v>
      </c>
      <c r="L4" s="23">
        <f>BUZZI!G27</f>
        <v>30.39</v>
      </c>
      <c r="M4" s="23">
        <f>BUZZI!G35</f>
        <v>0.55000000000000004</v>
      </c>
      <c r="N4" s="32"/>
      <c r="O4" s="33"/>
      <c r="P4" s="33"/>
      <c r="Q4" s="33"/>
      <c r="R4" s="32"/>
      <c r="S4" s="34"/>
      <c r="T4" s="35"/>
      <c r="U4" s="32"/>
      <c r="V4" s="35"/>
    </row>
    <row r="5" spans="1:22" x14ac:dyDescent="0.55000000000000004">
      <c r="A5" t="e" vm="4">
        <v>#VALUE!</v>
      </c>
      <c r="B5" s="27" cm="1">
        <f t="array" aca="1" ref="B5" ca="1">_FV(A5,"Prezzo")</f>
        <v>137.59299999999999</v>
      </c>
      <c r="C5" s="18" cm="1">
        <f t="array" aca="1" ref="C5" ca="1">_FV(A5,"Capitalizzazione di mercato",TRUE)</f>
        <v>3357269199999</v>
      </c>
      <c r="D5" s="23">
        <f ca="1">C5/1000000000</f>
        <v>3357.2691999990002</v>
      </c>
      <c r="E5" s="23">
        <f>NVDA!G22-NVDA!G24</f>
        <v>-4.9400000000000013</v>
      </c>
      <c r="F5" s="23">
        <f t="shared" ca="1" si="0"/>
        <v>3352.3291999990001</v>
      </c>
      <c r="G5" s="23">
        <f>NVDA!G2</f>
        <v>148.52000000000001</v>
      </c>
      <c r="H5" s="23">
        <f>NVDA!G10</f>
        <v>89.03</v>
      </c>
      <c r="I5" s="23">
        <f>NVDA!G12</f>
        <v>76.77</v>
      </c>
      <c r="J5" s="23">
        <f>NVDA!G15</f>
        <v>3.1</v>
      </c>
      <c r="K5" s="23">
        <f>NVDA!G23</f>
        <v>83.84</v>
      </c>
      <c r="L5" s="23">
        <f>NVDA!G27</f>
        <v>3.44</v>
      </c>
      <c r="M5" s="23">
        <f>NVDA!G35</f>
        <v>73.63</v>
      </c>
      <c r="N5" s="32"/>
      <c r="O5" s="33"/>
      <c r="P5" s="33"/>
      <c r="Q5" s="33"/>
      <c r="R5" s="32"/>
      <c r="S5" s="34"/>
      <c r="T5" s="35"/>
      <c r="U5" s="32"/>
      <c r="V5" s="35"/>
    </row>
    <row r="9" spans="1:22" x14ac:dyDescent="0.55000000000000004">
      <c r="A9" s="36"/>
      <c r="B9" s="36" t="s">
        <v>1</v>
      </c>
      <c r="C9" s="36" t="s">
        <v>2</v>
      </c>
      <c r="D9" s="36" t="s">
        <v>3</v>
      </c>
      <c r="E9" s="36" t="s">
        <v>4</v>
      </c>
      <c r="F9" s="36" t="s">
        <v>5</v>
      </c>
      <c r="G9" s="37" t="s">
        <v>55</v>
      </c>
      <c r="H9" s="37" t="s">
        <v>56</v>
      </c>
      <c r="I9" s="37" t="s">
        <v>57</v>
      </c>
    </row>
    <row r="10" spans="1:22" x14ac:dyDescent="0.55000000000000004">
      <c r="A10" s="38" t="s">
        <v>62</v>
      </c>
      <c r="B10" s="32">
        <f>H2/G2</f>
        <v>0.20027371561255405</v>
      </c>
      <c r="C10" s="33">
        <f ca="1">F2/H2</f>
        <v>17.225882985257982</v>
      </c>
      <c r="D10" s="33">
        <f ca="1">B2/J2</f>
        <v>33.690032573289905</v>
      </c>
      <c r="E10" s="33">
        <f ca="1">D2/K2</f>
        <v>7.1156340929152906</v>
      </c>
      <c r="F10" s="32">
        <f ca="1">M2/D2</f>
        <v>1.9398481662186148E-2</v>
      </c>
      <c r="G10" s="34">
        <f>I2/K2</f>
        <v>0.21558178311047177</v>
      </c>
      <c r="H10" s="35"/>
      <c r="I10" s="32">
        <f>AMZN!G34/AMZN!G10</f>
        <v>0.71475737100737102</v>
      </c>
    </row>
    <row r="11" spans="1:22" x14ac:dyDescent="0.55000000000000004">
      <c r="A11" s="38" t="s">
        <v>59</v>
      </c>
      <c r="B11" s="32">
        <f t="shared" ref="B11:B13" si="1">H3/G3</f>
        <v>0</v>
      </c>
      <c r="C11" s="33">
        <v>0</v>
      </c>
      <c r="D11" s="33">
        <f t="shared" ref="D11:D13" ca="1" si="2">B3/J3</f>
        <v>4.0354166666666673</v>
      </c>
      <c r="E11" s="33">
        <f t="shared" ref="E11:E13" ca="1" si="3">D3/K3</f>
        <v>0.92624937447873223</v>
      </c>
      <c r="F11" s="32">
        <f t="shared" ref="F11:F13" ca="1" si="4">M3/D3</f>
        <v>0.23951599759763656</v>
      </c>
      <c r="G11" s="34">
        <f t="shared" ref="G11:G13" si="5">I3/K3</f>
        <v>0.11592994161801501</v>
      </c>
      <c r="H11" s="35"/>
      <c r="I11" s="32">
        <v>0</v>
      </c>
    </row>
    <row r="12" spans="1:22" x14ac:dyDescent="0.55000000000000004">
      <c r="A12" s="38" t="s">
        <v>60</v>
      </c>
      <c r="B12" s="32">
        <f t="shared" si="1"/>
        <v>0.30626450116009285</v>
      </c>
      <c r="C12" s="33">
        <f t="shared" ref="C11:C13" ca="1" si="6">F4/H4</f>
        <v>6.2731477272727263</v>
      </c>
      <c r="D12" s="33">
        <f t="shared" si="2"/>
        <v>8.6274509803921582</v>
      </c>
      <c r="E12" s="33">
        <f t="shared" ca="1" si="3"/>
        <v>1.5471678507992894</v>
      </c>
      <c r="F12" s="32">
        <f t="shared" ca="1" si="4"/>
        <v>6.3141786028559618E-2</v>
      </c>
      <c r="G12" s="34">
        <f t="shared" si="5"/>
        <v>0.1669626998223801</v>
      </c>
      <c r="H12" s="35"/>
      <c r="I12" s="32">
        <f>BUZZI!G34/BUZZI!G10</f>
        <v>0.34090909090909088</v>
      </c>
    </row>
    <row r="13" spans="1:22" x14ac:dyDescent="0.55000000000000004">
      <c r="A13" s="38" t="s">
        <v>61</v>
      </c>
      <c r="B13" s="32">
        <f t="shared" si="1"/>
        <v>0.59944788580662534</v>
      </c>
      <c r="C13" s="33">
        <f t="shared" ca="1" si="6"/>
        <v>37.653927889464228</v>
      </c>
      <c r="D13" s="33">
        <f t="shared" ca="1" si="2"/>
        <v>44.384838709677418</v>
      </c>
      <c r="E13" s="33">
        <f t="shared" ca="1" si="3"/>
        <v>40.043764312965173</v>
      </c>
      <c r="F13" s="32">
        <f t="shared" ca="1" si="4"/>
        <v>2.1931515053967648E-2</v>
      </c>
      <c r="G13" s="34">
        <f t="shared" si="5"/>
        <v>0.91567270992366401</v>
      </c>
      <c r="H13" s="35"/>
      <c r="I13" s="32">
        <f>NVDA!G34/NVDA!G10</f>
        <v>4.5939570931146805E-2</v>
      </c>
    </row>
    <row r="14" spans="1:22" x14ac:dyDescent="0.55000000000000004">
      <c r="A14" s="31"/>
      <c r="B14" s="35"/>
      <c r="C14" s="35"/>
      <c r="D14" s="35"/>
      <c r="E14" s="35"/>
      <c r="F14" s="35"/>
      <c r="G14" s="35"/>
      <c r="H14" s="35"/>
      <c r="I14" s="35"/>
    </row>
    <row r="15" spans="1:22" x14ac:dyDescent="0.55000000000000004">
      <c r="A15" s="31"/>
      <c r="B15" s="35"/>
      <c r="C15" s="35"/>
      <c r="D15" s="35"/>
      <c r="E15" s="35"/>
      <c r="F15" s="35"/>
      <c r="G15" s="35"/>
      <c r="H15" s="35"/>
      <c r="I15" s="35"/>
    </row>
    <row r="16" spans="1:22" x14ac:dyDescent="0.55000000000000004">
      <c r="A16" s="31"/>
      <c r="B16" s="32"/>
      <c r="C16" s="32"/>
      <c r="D16" s="32"/>
      <c r="E16" s="32"/>
      <c r="F16" s="35"/>
      <c r="G16" s="35"/>
      <c r="H16" s="35"/>
      <c r="I16" s="35"/>
    </row>
    <row r="17" spans="1:9" x14ac:dyDescent="0.55000000000000004">
      <c r="A17" s="35"/>
      <c r="B17" s="35"/>
      <c r="C17" s="35"/>
      <c r="D17" s="35"/>
      <c r="E17" s="35"/>
      <c r="F17" s="35"/>
      <c r="G17" s="35"/>
      <c r="H17" s="35"/>
      <c r="I17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6"/>
  <sheetViews>
    <sheetView workbookViewId="0">
      <selection activeCell="I7" sqref="I7"/>
    </sheetView>
  </sheetViews>
  <sheetFormatPr defaultRowHeight="14.4" x14ac:dyDescent="0.55000000000000004"/>
  <cols>
    <col min="1" max="1" width="36.5234375" customWidth="1"/>
    <col min="2" max="2" width="7.83984375" customWidth="1"/>
    <col min="3" max="6" width="7.83984375" bestFit="1" customWidth="1"/>
    <col min="7" max="7" width="11.1015625" customWidth="1"/>
    <col min="9" max="9" width="14.3125" bestFit="1" customWidth="1"/>
    <col min="10" max="10" width="12.3671875" bestFit="1" customWidth="1"/>
  </cols>
  <sheetData>
    <row r="1" spans="1:1024 1031:2046 2053:3068 3075:4090 4097:5119 5126:6141 6148:7163 7170:8192 8199:9214 9221:10236 10243:11258 11265:12287 12294:13309 13316:14331 14338:15360 15367:16382" ht="15.6" x14ac:dyDescent="0.55000000000000004">
      <c r="A1" s="2" t="s">
        <v>6</v>
      </c>
      <c r="B1" s="4">
        <v>44166</v>
      </c>
      <c r="C1" s="4">
        <v>44531</v>
      </c>
      <c r="D1" s="4">
        <v>44896</v>
      </c>
      <c r="E1" s="4">
        <v>45261</v>
      </c>
      <c r="F1" s="4">
        <v>45627</v>
      </c>
      <c r="G1" s="3" t="s">
        <v>7</v>
      </c>
    </row>
    <row r="2" spans="1:1024 1031:2046 2053:3068 3075:4090 4097:5119 5126:6141 6148:7163 7170:8192 8199:9214 9221:10236 10243:11258 11265:12287 12294:13309 13316:14331 14338:15360 15367:16382" ht="15.6" x14ac:dyDescent="0.55000000000000004">
      <c r="A2" s="5" t="s">
        <v>8</v>
      </c>
      <c r="B2" s="20">
        <v>386.06</v>
      </c>
      <c r="C2" s="20">
        <v>469.82</v>
      </c>
      <c r="D2" s="20">
        <v>513.98</v>
      </c>
      <c r="E2" s="20">
        <v>574.79</v>
      </c>
      <c r="F2" s="20">
        <v>637.96</v>
      </c>
      <c r="G2" s="20">
        <v>650.30999999999995</v>
      </c>
    </row>
    <row r="3" spans="1:1024 1031:2046 2053:3068 3075:4090 4097:5119 5126:6141 6148:7163 7170:8192 8199:9214 9221:10236 10243:11258 11265:12287 12294:13309 13316:14331 14338:15360 15367:16382" ht="15.6" x14ac:dyDescent="0.55000000000000004">
      <c r="A3" s="7" t="s">
        <v>9</v>
      </c>
      <c r="B3" s="25">
        <v>0.37619999999999998</v>
      </c>
      <c r="C3" s="25">
        <v>0.217</v>
      </c>
      <c r="D3" s="25">
        <v>9.4E-2</v>
      </c>
      <c r="E3" s="25">
        <v>0.1183</v>
      </c>
      <c r="F3" s="25">
        <v>0.1099</v>
      </c>
      <c r="G3" s="25">
        <v>0.1008</v>
      </c>
    </row>
    <row r="4" spans="1:1024 1031:2046 2053:3068 3075:4090 4097:5119 5126:6141 6148:7163 7170:8192 8199:9214 9221:10236 10243:11258 11265:12287 12294:13309 13316:14331 14338:15360 15367:16382" ht="15.6" x14ac:dyDescent="0.55000000000000004">
      <c r="A4" s="5" t="s">
        <v>10</v>
      </c>
      <c r="B4" s="20">
        <v>152.76</v>
      </c>
      <c r="C4" s="20">
        <v>197.48</v>
      </c>
      <c r="D4" s="20">
        <v>225.15</v>
      </c>
      <c r="E4" s="20">
        <v>270.05</v>
      </c>
      <c r="F4" s="20">
        <v>311.67</v>
      </c>
      <c r="G4" s="20">
        <v>319.68</v>
      </c>
    </row>
    <row r="5" spans="1:1024 1031:2046 2053:3068 3075:4090 4097:5119 5126:6141 6148:7163 7170:8192 8199:9214 9221:10236 10243:11258 11265:12287 12294:13309 13316:14331 14338:15360 15367:16382" s="8" customFormat="1" ht="15.6" x14ac:dyDescent="0.55000000000000004">
      <c r="A5" s="7" t="s">
        <v>11</v>
      </c>
      <c r="B5" s="25">
        <v>0.3957</v>
      </c>
      <c r="C5" s="25">
        <v>0.42030000000000001</v>
      </c>
      <c r="D5" s="25">
        <v>0.43809999999999999</v>
      </c>
      <c r="E5" s="25">
        <v>0.4698</v>
      </c>
      <c r="F5" s="25">
        <v>0.48849999999999999</v>
      </c>
      <c r="G5" s="25">
        <v>0.49159999999999998</v>
      </c>
      <c r="H5"/>
      <c r="I5" s="7"/>
      <c r="P5" s="7"/>
      <c r="W5" s="7"/>
      <c r="AD5" s="7"/>
      <c r="AK5" s="7"/>
      <c r="AR5" s="7"/>
      <c r="AY5" s="7"/>
      <c r="BF5" s="7"/>
      <c r="BM5" s="7"/>
      <c r="BT5" s="7"/>
      <c r="CA5" s="7"/>
      <c r="CH5" s="7"/>
      <c r="CO5" s="7"/>
      <c r="CV5" s="7"/>
      <c r="DC5" s="7"/>
      <c r="DJ5" s="7"/>
      <c r="DQ5" s="7"/>
      <c r="DX5" s="7"/>
      <c r="EE5" s="7"/>
      <c r="EL5" s="7"/>
      <c r="ES5" s="7"/>
      <c r="EZ5" s="7"/>
      <c r="FG5" s="7"/>
      <c r="FN5" s="7"/>
      <c r="FU5" s="7"/>
      <c r="GB5" s="7"/>
      <c r="GI5" s="7"/>
      <c r="GP5" s="7"/>
      <c r="GW5" s="7"/>
      <c r="HD5" s="7"/>
      <c r="HK5" s="7"/>
      <c r="HR5" s="7"/>
      <c r="HY5" s="7"/>
      <c r="IF5" s="7"/>
      <c r="IM5" s="7"/>
      <c r="IT5" s="7"/>
      <c r="JA5" s="7"/>
      <c r="JH5" s="7"/>
      <c r="JO5" s="7"/>
      <c r="JV5" s="7"/>
      <c r="KC5" s="7"/>
      <c r="KJ5" s="7"/>
      <c r="KQ5" s="7"/>
      <c r="KX5" s="7"/>
      <c r="LE5" s="7"/>
      <c r="LL5" s="7"/>
      <c r="LS5" s="7"/>
      <c r="LZ5" s="7"/>
      <c r="MG5" s="7"/>
      <c r="MN5" s="7"/>
      <c r="MU5" s="7"/>
      <c r="NB5" s="7"/>
      <c r="NI5" s="7"/>
      <c r="NP5" s="7"/>
      <c r="NW5" s="7"/>
      <c r="OD5" s="7"/>
      <c r="OK5" s="7"/>
      <c r="OR5" s="7"/>
      <c r="OY5" s="7"/>
      <c r="PF5" s="7"/>
      <c r="PM5" s="7"/>
      <c r="PT5" s="7"/>
      <c r="QA5" s="7"/>
      <c r="QH5" s="7"/>
      <c r="QO5" s="7"/>
      <c r="QV5" s="7"/>
      <c r="RC5" s="7"/>
      <c r="RJ5" s="7"/>
      <c r="RQ5" s="7"/>
      <c r="RX5" s="7"/>
      <c r="SE5" s="7"/>
      <c r="SL5" s="7"/>
      <c r="SS5" s="7"/>
      <c r="SZ5" s="7"/>
      <c r="TG5" s="7"/>
      <c r="TN5" s="7"/>
      <c r="TU5" s="7"/>
      <c r="UB5" s="7"/>
      <c r="UI5" s="7"/>
      <c r="UP5" s="7"/>
      <c r="UW5" s="7"/>
      <c r="VD5" s="7"/>
      <c r="VK5" s="7"/>
      <c r="VR5" s="7"/>
      <c r="VY5" s="7"/>
      <c r="WF5" s="7"/>
      <c r="WM5" s="7"/>
      <c r="WT5" s="7"/>
      <c r="XA5" s="7"/>
      <c r="XH5" s="7"/>
      <c r="XO5" s="7"/>
      <c r="XV5" s="7"/>
      <c r="YC5" s="7"/>
      <c r="YJ5" s="7"/>
      <c r="YQ5" s="7"/>
      <c r="YX5" s="7"/>
      <c r="ZE5" s="7"/>
      <c r="ZL5" s="7"/>
      <c r="ZS5" s="7"/>
      <c r="ZZ5" s="7"/>
      <c r="AAG5" s="7"/>
      <c r="AAN5" s="7"/>
      <c r="AAU5" s="7"/>
      <c r="ABB5" s="7"/>
      <c r="ABI5" s="7"/>
      <c r="ABP5" s="7"/>
      <c r="ABW5" s="7"/>
      <c r="ACD5" s="7"/>
      <c r="ACK5" s="7"/>
      <c r="ACR5" s="7"/>
      <c r="ACY5" s="7"/>
      <c r="ADF5" s="7"/>
      <c r="ADM5" s="7"/>
      <c r="ADT5" s="7"/>
      <c r="AEA5" s="7"/>
      <c r="AEH5" s="7"/>
      <c r="AEO5" s="7"/>
      <c r="AEV5" s="7"/>
      <c r="AFC5" s="7"/>
      <c r="AFJ5" s="7"/>
      <c r="AFQ5" s="7"/>
      <c r="AFX5" s="7"/>
      <c r="AGE5" s="7"/>
      <c r="AGL5" s="7"/>
      <c r="AGS5" s="7"/>
      <c r="AGZ5" s="7"/>
      <c r="AHG5" s="7"/>
      <c r="AHN5" s="7"/>
      <c r="AHU5" s="7"/>
      <c r="AIB5" s="7"/>
      <c r="AII5" s="7"/>
      <c r="AIP5" s="7"/>
      <c r="AIW5" s="7"/>
      <c r="AJD5" s="7"/>
      <c r="AJK5" s="7"/>
      <c r="AJR5" s="7"/>
      <c r="AJY5" s="7"/>
      <c r="AKF5" s="7"/>
      <c r="AKM5" s="7"/>
      <c r="AKT5" s="7"/>
      <c r="ALA5" s="7"/>
      <c r="ALH5" s="7"/>
      <c r="ALO5" s="7"/>
      <c r="ALV5" s="7"/>
      <c r="AMC5" s="7"/>
      <c r="AMJ5" s="7"/>
      <c r="AMQ5" s="7"/>
      <c r="AMX5" s="7"/>
      <c r="ANE5" s="7"/>
      <c r="ANL5" s="7"/>
      <c r="ANS5" s="7"/>
      <c r="ANZ5" s="7"/>
      <c r="AOG5" s="7"/>
      <c r="AON5" s="7"/>
      <c r="AOU5" s="7"/>
      <c r="APB5" s="7"/>
      <c r="API5" s="7"/>
      <c r="APP5" s="7"/>
      <c r="APW5" s="7"/>
      <c r="AQD5" s="7"/>
      <c r="AQK5" s="7"/>
      <c r="AQR5" s="7"/>
      <c r="AQY5" s="7"/>
      <c r="ARF5" s="7"/>
      <c r="ARM5" s="7"/>
      <c r="ART5" s="7"/>
      <c r="ASA5" s="7"/>
      <c r="ASH5" s="7"/>
      <c r="ASO5" s="7"/>
      <c r="ASV5" s="7"/>
      <c r="ATC5" s="7"/>
      <c r="ATJ5" s="7"/>
      <c r="ATQ5" s="7"/>
      <c r="ATX5" s="7"/>
      <c r="AUE5" s="7"/>
      <c r="AUL5" s="7"/>
      <c r="AUS5" s="7"/>
      <c r="AUZ5" s="7"/>
      <c r="AVG5" s="7"/>
      <c r="AVN5" s="7"/>
      <c r="AVU5" s="7"/>
      <c r="AWB5" s="7"/>
      <c r="AWI5" s="7"/>
      <c r="AWP5" s="7"/>
      <c r="AWW5" s="7"/>
      <c r="AXD5" s="7"/>
      <c r="AXK5" s="7"/>
      <c r="AXR5" s="7"/>
      <c r="AXY5" s="7"/>
      <c r="AYF5" s="7"/>
      <c r="AYM5" s="7"/>
      <c r="AYT5" s="7"/>
      <c r="AZA5" s="7"/>
      <c r="AZH5" s="7"/>
      <c r="AZO5" s="7"/>
      <c r="AZV5" s="7"/>
      <c r="BAC5" s="7"/>
      <c r="BAJ5" s="7"/>
      <c r="BAQ5" s="7"/>
      <c r="BAX5" s="7"/>
      <c r="BBE5" s="7"/>
      <c r="BBL5" s="7"/>
      <c r="BBS5" s="7"/>
      <c r="BBZ5" s="7"/>
      <c r="BCG5" s="7"/>
      <c r="BCN5" s="7"/>
      <c r="BCU5" s="7"/>
      <c r="BDB5" s="7"/>
      <c r="BDI5" s="7"/>
      <c r="BDP5" s="7"/>
      <c r="BDW5" s="7"/>
      <c r="BED5" s="7"/>
      <c r="BEK5" s="7"/>
      <c r="BER5" s="7"/>
      <c r="BEY5" s="7"/>
      <c r="BFF5" s="7"/>
      <c r="BFM5" s="7"/>
      <c r="BFT5" s="7"/>
      <c r="BGA5" s="7"/>
      <c r="BGH5" s="7"/>
      <c r="BGO5" s="7"/>
      <c r="BGV5" s="7"/>
      <c r="BHC5" s="7"/>
      <c r="BHJ5" s="7"/>
      <c r="BHQ5" s="7"/>
      <c r="BHX5" s="7"/>
      <c r="BIE5" s="7"/>
      <c r="BIL5" s="7"/>
      <c r="BIS5" s="7"/>
      <c r="BIZ5" s="7"/>
      <c r="BJG5" s="7"/>
      <c r="BJN5" s="7"/>
      <c r="BJU5" s="7"/>
      <c r="BKB5" s="7"/>
      <c r="BKI5" s="7"/>
      <c r="BKP5" s="7"/>
      <c r="BKW5" s="7"/>
      <c r="BLD5" s="7"/>
      <c r="BLK5" s="7"/>
      <c r="BLR5" s="7"/>
      <c r="BLY5" s="7"/>
      <c r="BMF5" s="7"/>
      <c r="BMM5" s="7"/>
      <c r="BMT5" s="7"/>
      <c r="BNA5" s="7"/>
      <c r="BNH5" s="7"/>
      <c r="BNO5" s="7"/>
      <c r="BNV5" s="7"/>
      <c r="BOC5" s="7"/>
      <c r="BOJ5" s="7"/>
      <c r="BOQ5" s="7"/>
      <c r="BOX5" s="7"/>
      <c r="BPE5" s="7"/>
      <c r="BPL5" s="7"/>
      <c r="BPS5" s="7"/>
      <c r="BPZ5" s="7"/>
      <c r="BQG5" s="7"/>
      <c r="BQN5" s="7"/>
      <c r="BQU5" s="7"/>
      <c r="BRB5" s="7"/>
      <c r="BRI5" s="7"/>
      <c r="BRP5" s="7"/>
      <c r="BRW5" s="7"/>
      <c r="BSD5" s="7"/>
      <c r="BSK5" s="7"/>
      <c r="BSR5" s="7"/>
      <c r="BSY5" s="7"/>
      <c r="BTF5" s="7"/>
      <c r="BTM5" s="7"/>
      <c r="BTT5" s="7"/>
      <c r="BUA5" s="7"/>
      <c r="BUH5" s="7"/>
      <c r="BUO5" s="7"/>
      <c r="BUV5" s="7"/>
      <c r="BVC5" s="7"/>
      <c r="BVJ5" s="7"/>
      <c r="BVQ5" s="7"/>
      <c r="BVX5" s="7"/>
      <c r="BWE5" s="7"/>
      <c r="BWL5" s="7"/>
      <c r="BWS5" s="7"/>
      <c r="BWZ5" s="7"/>
      <c r="BXG5" s="7"/>
      <c r="BXN5" s="7"/>
      <c r="BXU5" s="7"/>
      <c r="BYB5" s="7"/>
      <c r="BYI5" s="7"/>
      <c r="BYP5" s="7"/>
      <c r="BYW5" s="7"/>
      <c r="BZD5" s="7"/>
      <c r="BZK5" s="7"/>
      <c r="BZR5" s="7"/>
      <c r="BZY5" s="7"/>
      <c r="CAF5" s="7"/>
      <c r="CAM5" s="7"/>
      <c r="CAT5" s="7"/>
      <c r="CBA5" s="7"/>
      <c r="CBH5" s="7"/>
      <c r="CBO5" s="7"/>
      <c r="CBV5" s="7"/>
      <c r="CCC5" s="7"/>
      <c r="CCJ5" s="7"/>
      <c r="CCQ5" s="7"/>
      <c r="CCX5" s="7"/>
      <c r="CDE5" s="7"/>
      <c r="CDL5" s="7"/>
      <c r="CDS5" s="7"/>
      <c r="CDZ5" s="7"/>
      <c r="CEG5" s="7"/>
      <c r="CEN5" s="7"/>
      <c r="CEU5" s="7"/>
      <c r="CFB5" s="7"/>
      <c r="CFI5" s="7"/>
      <c r="CFP5" s="7"/>
      <c r="CFW5" s="7"/>
      <c r="CGD5" s="7"/>
      <c r="CGK5" s="7"/>
      <c r="CGR5" s="7"/>
      <c r="CGY5" s="7"/>
      <c r="CHF5" s="7"/>
      <c r="CHM5" s="7"/>
      <c r="CHT5" s="7"/>
      <c r="CIA5" s="7"/>
      <c r="CIH5" s="7"/>
      <c r="CIO5" s="7"/>
      <c r="CIV5" s="7"/>
      <c r="CJC5" s="7"/>
      <c r="CJJ5" s="7"/>
      <c r="CJQ5" s="7"/>
      <c r="CJX5" s="7"/>
      <c r="CKE5" s="7"/>
      <c r="CKL5" s="7"/>
      <c r="CKS5" s="7"/>
      <c r="CKZ5" s="7"/>
      <c r="CLG5" s="7"/>
      <c r="CLN5" s="7"/>
      <c r="CLU5" s="7"/>
      <c r="CMB5" s="7"/>
      <c r="CMI5" s="7"/>
      <c r="CMP5" s="7"/>
      <c r="CMW5" s="7"/>
      <c r="CND5" s="7"/>
      <c r="CNK5" s="7"/>
      <c r="CNR5" s="7"/>
      <c r="CNY5" s="7"/>
      <c r="COF5" s="7"/>
      <c r="COM5" s="7"/>
      <c r="COT5" s="7"/>
      <c r="CPA5" s="7"/>
      <c r="CPH5" s="7"/>
      <c r="CPO5" s="7"/>
      <c r="CPV5" s="7"/>
      <c r="CQC5" s="7"/>
      <c r="CQJ5" s="7"/>
      <c r="CQQ5" s="7"/>
      <c r="CQX5" s="7"/>
      <c r="CRE5" s="7"/>
      <c r="CRL5" s="7"/>
      <c r="CRS5" s="7"/>
      <c r="CRZ5" s="7"/>
      <c r="CSG5" s="7"/>
      <c r="CSN5" s="7"/>
      <c r="CSU5" s="7"/>
      <c r="CTB5" s="7"/>
      <c r="CTI5" s="7"/>
      <c r="CTP5" s="7"/>
      <c r="CTW5" s="7"/>
      <c r="CUD5" s="7"/>
      <c r="CUK5" s="7"/>
      <c r="CUR5" s="7"/>
      <c r="CUY5" s="7"/>
      <c r="CVF5" s="7"/>
      <c r="CVM5" s="7"/>
      <c r="CVT5" s="7"/>
      <c r="CWA5" s="7"/>
      <c r="CWH5" s="7"/>
      <c r="CWO5" s="7"/>
      <c r="CWV5" s="7"/>
      <c r="CXC5" s="7"/>
      <c r="CXJ5" s="7"/>
      <c r="CXQ5" s="7"/>
      <c r="CXX5" s="7"/>
      <c r="CYE5" s="7"/>
      <c r="CYL5" s="7"/>
      <c r="CYS5" s="7"/>
      <c r="CYZ5" s="7"/>
      <c r="CZG5" s="7"/>
      <c r="CZN5" s="7"/>
      <c r="CZU5" s="7"/>
      <c r="DAB5" s="7"/>
      <c r="DAI5" s="7"/>
      <c r="DAP5" s="7"/>
      <c r="DAW5" s="7"/>
      <c r="DBD5" s="7"/>
      <c r="DBK5" s="7"/>
      <c r="DBR5" s="7"/>
      <c r="DBY5" s="7"/>
      <c r="DCF5" s="7"/>
      <c r="DCM5" s="7"/>
      <c r="DCT5" s="7"/>
      <c r="DDA5" s="7"/>
      <c r="DDH5" s="7"/>
      <c r="DDO5" s="7"/>
      <c r="DDV5" s="7"/>
      <c r="DEC5" s="7"/>
      <c r="DEJ5" s="7"/>
      <c r="DEQ5" s="7"/>
      <c r="DEX5" s="7"/>
      <c r="DFE5" s="7"/>
      <c r="DFL5" s="7"/>
      <c r="DFS5" s="7"/>
      <c r="DFZ5" s="7"/>
      <c r="DGG5" s="7"/>
      <c r="DGN5" s="7"/>
      <c r="DGU5" s="7"/>
      <c r="DHB5" s="7"/>
      <c r="DHI5" s="7"/>
      <c r="DHP5" s="7"/>
      <c r="DHW5" s="7"/>
      <c r="DID5" s="7"/>
      <c r="DIK5" s="7"/>
      <c r="DIR5" s="7"/>
      <c r="DIY5" s="7"/>
      <c r="DJF5" s="7"/>
      <c r="DJM5" s="7"/>
      <c r="DJT5" s="7"/>
      <c r="DKA5" s="7"/>
      <c r="DKH5" s="7"/>
      <c r="DKO5" s="7"/>
      <c r="DKV5" s="7"/>
      <c r="DLC5" s="7"/>
      <c r="DLJ5" s="7"/>
      <c r="DLQ5" s="7"/>
      <c r="DLX5" s="7"/>
      <c r="DME5" s="7"/>
      <c r="DML5" s="7"/>
      <c r="DMS5" s="7"/>
      <c r="DMZ5" s="7"/>
      <c r="DNG5" s="7"/>
      <c r="DNN5" s="7"/>
      <c r="DNU5" s="7"/>
      <c r="DOB5" s="7"/>
      <c r="DOI5" s="7"/>
      <c r="DOP5" s="7"/>
      <c r="DOW5" s="7"/>
      <c r="DPD5" s="7"/>
      <c r="DPK5" s="7"/>
      <c r="DPR5" s="7"/>
      <c r="DPY5" s="7"/>
      <c r="DQF5" s="7"/>
      <c r="DQM5" s="7"/>
      <c r="DQT5" s="7"/>
      <c r="DRA5" s="7"/>
      <c r="DRH5" s="7"/>
      <c r="DRO5" s="7"/>
      <c r="DRV5" s="7"/>
      <c r="DSC5" s="7"/>
      <c r="DSJ5" s="7"/>
      <c r="DSQ5" s="7"/>
      <c r="DSX5" s="7"/>
      <c r="DTE5" s="7"/>
      <c r="DTL5" s="7"/>
      <c r="DTS5" s="7"/>
      <c r="DTZ5" s="7"/>
      <c r="DUG5" s="7"/>
      <c r="DUN5" s="7"/>
      <c r="DUU5" s="7"/>
      <c r="DVB5" s="7"/>
      <c r="DVI5" s="7"/>
      <c r="DVP5" s="7"/>
      <c r="DVW5" s="7"/>
      <c r="DWD5" s="7"/>
      <c r="DWK5" s="7"/>
      <c r="DWR5" s="7"/>
      <c r="DWY5" s="7"/>
      <c r="DXF5" s="7"/>
      <c r="DXM5" s="7"/>
      <c r="DXT5" s="7"/>
      <c r="DYA5" s="7"/>
      <c r="DYH5" s="7"/>
      <c r="DYO5" s="7"/>
      <c r="DYV5" s="7"/>
      <c r="DZC5" s="7"/>
      <c r="DZJ5" s="7"/>
      <c r="DZQ5" s="7"/>
      <c r="DZX5" s="7"/>
      <c r="EAE5" s="7"/>
      <c r="EAL5" s="7"/>
      <c r="EAS5" s="7"/>
      <c r="EAZ5" s="7"/>
      <c r="EBG5" s="7"/>
      <c r="EBN5" s="7"/>
      <c r="EBU5" s="7"/>
      <c r="ECB5" s="7"/>
      <c r="ECI5" s="7"/>
      <c r="ECP5" s="7"/>
      <c r="ECW5" s="7"/>
      <c r="EDD5" s="7"/>
      <c r="EDK5" s="7"/>
      <c r="EDR5" s="7"/>
      <c r="EDY5" s="7"/>
      <c r="EEF5" s="7"/>
      <c r="EEM5" s="7"/>
      <c r="EET5" s="7"/>
      <c r="EFA5" s="7"/>
      <c r="EFH5" s="7"/>
      <c r="EFO5" s="7"/>
      <c r="EFV5" s="7"/>
      <c r="EGC5" s="7"/>
      <c r="EGJ5" s="7"/>
      <c r="EGQ5" s="7"/>
      <c r="EGX5" s="7"/>
      <c r="EHE5" s="7"/>
      <c r="EHL5" s="7"/>
      <c r="EHS5" s="7"/>
      <c r="EHZ5" s="7"/>
      <c r="EIG5" s="7"/>
      <c r="EIN5" s="7"/>
      <c r="EIU5" s="7"/>
      <c r="EJB5" s="7"/>
      <c r="EJI5" s="7"/>
      <c r="EJP5" s="7"/>
      <c r="EJW5" s="7"/>
      <c r="EKD5" s="7"/>
      <c r="EKK5" s="7"/>
      <c r="EKR5" s="7"/>
      <c r="EKY5" s="7"/>
      <c r="ELF5" s="7"/>
      <c r="ELM5" s="7"/>
      <c r="ELT5" s="7"/>
      <c r="EMA5" s="7"/>
      <c r="EMH5" s="7"/>
      <c r="EMO5" s="7"/>
      <c r="EMV5" s="7"/>
      <c r="ENC5" s="7"/>
      <c r="ENJ5" s="7"/>
      <c r="ENQ5" s="7"/>
      <c r="ENX5" s="7"/>
      <c r="EOE5" s="7"/>
      <c r="EOL5" s="7"/>
      <c r="EOS5" s="7"/>
      <c r="EOZ5" s="7"/>
      <c r="EPG5" s="7"/>
      <c r="EPN5" s="7"/>
      <c r="EPU5" s="7"/>
      <c r="EQB5" s="7"/>
      <c r="EQI5" s="7"/>
      <c r="EQP5" s="7"/>
      <c r="EQW5" s="7"/>
      <c r="ERD5" s="7"/>
      <c r="ERK5" s="7"/>
      <c r="ERR5" s="7"/>
      <c r="ERY5" s="7"/>
      <c r="ESF5" s="7"/>
      <c r="ESM5" s="7"/>
      <c r="EST5" s="7"/>
      <c r="ETA5" s="7"/>
      <c r="ETH5" s="7"/>
      <c r="ETO5" s="7"/>
      <c r="ETV5" s="7"/>
      <c r="EUC5" s="7"/>
      <c r="EUJ5" s="7"/>
      <c r="EUQ5" s="7"/>
      <c r="EUX5" s="7"/>
      <c r="EVE5" s="7"/>
      <c r="EVL5" s="7"/>
      <c r="EVS5" s="7"/>
      <c r="EVZ5" s="7"/>
      <c r="EWG5" s="7"/>
      <c r="EWN5" s="7"/>
      <c r="EWU5" s="7"/>
      <c r="EXB5" s="7"/>
      <c r="EXI5" s="7"/>
      <c r="EXP5" s="7"/>
      <c r="EXW5" s="7"/>
      <c r="EYD5" s="7"/>
      <c r="EYK5" s="7"/>
      <c r="EYR5" s="7"/>
      <c r="EYY5" s="7"/>
      <c r="EZF5" s="7"/>
      <c r="EZM5" s="7"/>
      <c r="EZT5" s="7"/>
      <c r="FAA5" s="7"/>
      <c r="FAH5" s="7"/>
      <c r="FAO5" s="7"/>
      <c r="FAV5" s="7"/>
      <c r="FBC5" s="7"/>
      <c r="FBJ5" s="7"/>
      <c r="FBQ5" s="7"/>
      <c r="FBX5" s="7"/>
      <c r="FCE5" s="7"/>
      <c r="FCL5" s="7"/>
      <c r="FCS5" s="7"/>
      <c r="FCZ5" s="7"/>
      <c r="FDG5" s="7"/>
      <c r="FDN5" s="7"/>
      <c r="FDU5" s="7"/>
      <c r="FEB5" s="7"/>
      <c r="FEI5" s="7"/>
      <c r="FEP5" s="7"/>
      <c r="FEW5" s="7"/>
      <c r="FFD5" s="7"/>
      <c r="FFK5" s="7"/>
      <c r="FFR5" s="7"/>
      <c r="FFY5" s="7"/>
      <c r="FGF5" s="7"/>
      <c r="FGM5" s="7"/>
      <c r="FGT5" s="7"/>
      <c r="FHA5" s="7"/>
      <c r="FHH5" s="7"/>
      <c r="FHO5" s="7"/>
      <c r="FHV5" s="7"/>
      <c r="FIC5" s="7"/>
      <c r="FIJ5" s="7"/>
      <c r="FIQ5" s="7"/>
      <c r="FIX5" s="7"/>
      <c r="FJE5" s="7"/>
      <c r="FJL5" s="7"/>
      <c r="FJS5" s="7"/>
      <c r="FJZ5" s="7"/>
      <c r="FKG5" s="7"/>
      <c r="FKN5" s="7"/>
      <c r="FKU5" s="7"/>
      <c r="FLB5" s="7"/>
      <c r="FLI5" s="7"/>
      <c r="FLP5" s="7"/>
      <c r="FLW5" s="7"/>
      <c r="FMD5" s="7"/>
      <c r="FMK5" s="7"/>
      <c r="FMR5" s="7"/>
      <c r="FMY5" s="7"/>
      <c r="FNF5" s="7"/>
      <c r="FNM5" s="7"/>
      <c r="FNT5" s="7"/>
      <c r="FOA5" s="7"/>
      <c r="FOH5" s="7"/>
      <c r="FOO5" s="7"/>
      <c r="FOV5" s="7"/>
      <c r="FPC5" s="7"/>
      <c r="FPJ5" s="7"/>
      <c r="FPQ5" s="7"/>
      <c r="FPX5" s="7"/>
      <c r="FQE5" s="7"/>
      <c r="FQL5" s="7"/>
      <c r="FQS5" s="7"/>
      <c r="FQZ5" s="7"/>
      <c r="FRG5" s="7"/>
      <c r="FRN5" s="7"/>
      <c r="FRU5" s="7"/>
      <c r="FSB5" s="7"/>
      <c r="FSI5" s="7"/>
      <c r="FSP5" s="7"/>
      <c r="FSW5" s="7"/>
      <c r="FTD5" s="7"/>
      <c r="FTK5" s="7"/>
      <c r="FTR5" s="7"/>
      <c r="FTY5" s="7"/>
      <c r="FUF5" s="7"/>
      <c r="FUM5" s="7"/>
      <c r="FUT5" s="7"/>
      <c r="FVA5" s="7"/>
      <c r="FVH5" s="7"/>
      <c r="FVO5" s="7"/>
      <c r="FVV5" s="7"/>
      <c r="FWC5" s="7"/>
      <c r="FWJ5" s="7"/>
      <c r="FWQ5" s="7"/>
      <c r="FWX5" s="7"/>
      <c r="FXE5" s="7"/>
      <c r="FXL5" s="7"/>
      <c r="FXS5" s="7"/>
      <c r="FXZ5" s="7"/>
      <c r="FYG5" s="7"/>
      <c r="FYN5" s="7"/>
      <c r="FYU5" s="7"/>
      <c r="FZB5" s="7"/>
      <c r="FZI5" s="7"/>
      <c r="FZP5" s="7"/>
      <c r="FZW5" s="7"/>
      <c r="GAD5" s="7"/>
      <c r="GAK5" s="7"/>
      <c r="GAR5" s="7"/>
      <c r="GAY5" s="7"/>
      <c r="GBF5" s="7"/>
      <c r="GBM5" s="7"/>
      <c r="GBT5" s="7"/>
      <c r="GCA5" s="7"/>
      <c r="GCH5" s="7"/>
      <c r="GCO5" s="7"/>
      <c r="GCV5" s="7"/>
      <c r="GDC5" s="7"/>
      <c r="GDJ5" s="7"/>
      <c r="GDQ5" s="7"/>
      <c r="GDX5" s="7"/>
      <c r="GEE5" s="7"/>
      <c r="GEL5" s="7"/>
      <c r="GES5" s="7"/>
      <c r="GEZ5" s="7"/>
      <c r="GFG5" s="7"/>
      <c r="GFN5" s="7"/>
      <c r="GFU5" s="7"/>
      <c r="GGB5" s="7"/>
      <c r="GGI5" s="7"/>
      <c r="GGP5" s="7"/>
      <c r="GGW5" s="7"/>
      <c r="GHD5" s="7"/>
      <c r="GHK5" s="7"/>
      <c r="GHR5" s="7"/>
      <c r="GHY5" s="7"/>
      <c r="GIF5" s="7"/>
      <c r="GIM5" s="7"/>
      <c r="GIT5" s="7"/>
      <c r="GJA5" s="7"/>
      <c r="GJH5" s="7"/>
      <c r="GJO5" s="7"/>
      <c r="GJV5" s="7"/>
      <c r="GKC5" s="7"/>
      <c r="GKJ5" s="7"/>
      <c r="GKQ5" s="7"/>
      <c r="GKX5" s="7"/>
      <c r="GLE5" s="7"/>
      <c r="GLL5" s="7"/>
      <c r="GLS5" s="7"/>
      <c r="GLZ5" s="7"/>
      <c r="GMG5" s="7"/>
      <c r="GMN5" s="7"/>
      <c r="GMU5" s="7"/>
      <c r="GNB5" s="7"/>
      <c r="GNI5" s="7"/>
      <c r="GNP5" s="7"/>
      <c r="GNW5" s="7"/>
      <c r="GOD5" s="7"/>
      <c r="GOK5" s="7"/>
      <c r="GOR5" s="7"/>
      <c r="GOY5" s="7"/>
      <c r="GPF5" s="7"/>
      <c r="GPM5" s="7"/>
      <c r="GPT5" s="7"/>
      <c r="GQA5" s="7"/>
      <c r="GQH5" s="7"/>
      <c r="GQO5" s="7"/>
      <c r="GQV5" s="7"/>
      <c r="GRC5" s="7"/>
      <c r="GRJ5" s="7"/>
      <c r="GRQ5" s="7"/>
      <c r="GRX5" s="7"/>
      <c r="GSE5" s="7"/>
      <c r="GSL5" s="7"/>
      <c r="GSS5" s="7"/>
      <c r="GSZ5" s="7"/>
      <c r="GTG5" s="7"/>
      <c r="GTN5" s="7"/>
      <c r="GTU5" s="7"/>
      <c r="GUB5" s="7"/>
      <c r="GUI5" s="7"/>
      <c r="GUP5" s="7"/>
      <c r="GUW5" s="7"/>
      <c r="GVD5" s="7"/>
      <c r="GVK5" s="7"/>
      <c r="GVR5" s="7"/>
      <c r="GVY5" s="7"/>
      <c r="GWF5" s="7"/>
      <c r="GWM5" s="7"/>
      <c r="GWT5" s="7"/>
      <c r="GXA5" s="7"/>
      <c r="GXH5" s="7"/>
      <c r="GXO5" s="7"/>
      <c r="GXV5" s="7"/>
      <c r="GYC5" s="7"/>
      <c r="GYJ5" s="7"/>
      <c r="GYQ5" s="7"/>
      <c r="GYX5" s="7"/>
      <c r="GZE5" s="7"/>
      <c r="GZL5" s="7"/>
      <c r="GZS5" s="7"/>
      <c r="GZZ5" s="7"/>
      <c r="HAG5" s="7"/>
      <c r="HAN5" s="7"/>
      <c r="HAU5" s="7"/>
      <c r="HBB5" s="7"/>
      <c r="HBI5" s="7"/>
      <c r="HBP5" s="7"/>
      <c r="HBW5" s="7"/>
      <c r="HCD5" s="7"/>
      <c r="HCK5" s="7"/>
      <c r="HCR5" s="7"/>
      <c r="HCY5" s="7"/>
      <c r="HDF5" s="7"/>
      <c r="HDM5" s="7"/>
      <c r="HDT5" s="7"/>
      <c r="HEA5" s="7"/>
      <c r="HEH5" s="7"/>
      <c r="HEO5" s="7"/>
      <c r="HEV5" s="7"/>
      <c r="HFC5" s="7"/>
      <c r="HFJ5" s="7"/>
      <c r="HFQ5" s="7"/>
      <c r="HFX5" s="7"/>
      <c r="HGE5" s="7"/>
      <c r="HGL5" s="7"/>
      <c r="HGS5" s="7"/>
      <c r="HGZ5" s="7"/>
      <c r="HHG5" s="7"/>
      <c r="HHN5" s="7"/>
      <c r="HHU5" s="7"/>
      <c r="HIB5" s="7"/>
      <c r="HII5" s="7"/>
      <c r="HIP5" s="7"/>
      <c r="HIW5" s="7"/>
      <c r="HJD5" s="7"/>
      <c r="HJK5" s="7"/>
      <c r="HJR5" s="7"/>
      <c r="HJY5" s="7"/>
      <c r="HKF5" s="7"/>
      <c r="HKM5" s="7"/>
      <c r="HKT5" s="7"/>
      <c r="HLA5" s="7"/>
      <c r="HLH5" s="7"/>
      <c r="HLO5" s="7"/>
      <c r="HLV5" s="7"/>
      <c r="HMC5" s="7"/>
      <c r="HMJ5" s="7"/>
      <c r="HMQ5" s="7"/>
      <c r="HMX5" s="7"/>
      <c r="HNE5" s="7"/>
      <c r="HNL5" s="7"/>
      <c r="HNS5" s="7"/>
      <c r="HNZ5" s="7"/>
      <c r="HOG5" s="7"/>
      <c r="HON5" s="7"/>
      <c r="HOU5" s="7"/>
      <c r="HPB5" s="7"/>
      <c r="HPI5" s="7"/>
      <c r="HPP5" s="7"/>
      <c r="HPW5" s="7"/>
      <c r="HQD5" s="7"/>
      <c r="HQK5" s="7"/>
      <c r="HQR5" s="7"/>
      <c r="HQY5" s="7"/>
      <c r="HRF5" s="7"/>
      <c r="HRM5" s="7"/>
      <c r="HRT5" s="7"/>
      <c r="HSA5" s="7"/>
      <c r="HSH5" s="7"/>
      <c r="HSO5" s="7"/>
      <c r="HSV5" s="7"/>
      <c r="HTC5" s="7"/>
      <c r="HTJ5" s="7"/>
      <c r="HTQ5" s="7"/>
      <c r="HTX5" s="7"/>
      <c r="HUE5" s="7"/>
      <c r="HUL5" s="7"/>
      <c r="HUS5" s="7"/>
      <c r="HUZ5" s="7"/>
      <c r="HVG5" s="7"/>
      <c r="HVN5" s="7"/>
      <c r="HVU5" s="7"/>
      <c r="HWB5" s="7"/>
      <c r="HWI5" s="7"/>
      <c r="HWP5" s="7"/>
      <c r="HWW5" s="7"/>
      <c r="HXD5" s="7"/>
      <c r="HXK5" s="7"/>
      <c r="HXR5" s="7"/>
      <c r="HXY5" s="7"/>
      <c r="HYF5" s="7"/>
      <c r="HYM5" s="7"/>
      <c r="HYT5" s="7"/>
      <c r="HZA5" s="7"/>
      <c r="HZH5" s="7"/>
      <c r="HZO5" s="7"/>
      <c r="HZV5" s="7"/>
      <c r="IAC5" s="7"/>
      <c r="IAJ5" s="7"/>
      <c r="IAQ5" s="7"/>
      <c r="IAX5" s="7"/>
      <c r="IBE5" s="7"/>
      <c r="IBL5" s="7"/>
      <c r="IBS5" s="7"/>
      <c r="IBZ5" s="7"/>
      <c r="ICG5" s="7"/>
      <c r="ICN5" s="7"/>
      <c r="ICU5" s="7"/>
      <c r="IDB5" s="7"/>
      <c r="IDI5" s="7"/>
      <c r="IDP5" s="7"/>
      <c r="IDW5" s="7"/>
      <c r="IED5" s="7"/>
      <c r="IEK5" s="7"/>
      <c r="IER5" s="7"/>
      <c r="IEY5" s="7"/>
      <c r="IFF5" s="7"/>
      <c r="IFM5" s="7"/>
      <c r="IFT5" s="7"/>
      <c r="IGA5" s="7"/>
      <c r="IGH5" s="7"/>
      <c r="IGO5" s="7"/>
      <c r="IGV5" s="7"/>
      <c r="IHC5" s="7"/>
      <c r="IHJ5" s="7"/>
      <c r="IHQ5" s="7"/>
      <c r="IHX5" s="7"/>
      <c r="IIE5" s="7"/>
      <c r="IIL5" s="7"/>
      <c r="IIS5" s="7"/>
      <c r="IIZ5" s="7"/>
      <c r="IJG5" s="7"/>
      <c r="IJN5" s="7"/>
      <c r="IJU5" s="7"/>
      <c r="IKB5" s="7"/>
      <c r="IKI5" s="7"/>
      <c r="IKP5" s="7"/>
      <c r="IKW5" s="7"/>
      <c r="ILD5" s="7"/>
      <c r="ILK5" s="7"/>
      <c r="ILR5" s="7"/>
      <c r="ILY5" s="7"/>
      <c r="IMF5" s="7"/>
      <c r="IMM5" s="7"/>
      <c r="IMT5" s="7"/>
      <c r="INA5" s="7"/>
      <c r="INH5" s="7"/>
      <c r="INO5" s="7"/>
      <c r="INV5" s="7"/>
      <c r="IOC5" s="7"/>
      <c r="IOJ5" s="7"/>
      <c r="IOQ5" s="7"/>
      <c r="IOX5" s="7"/>
      <c r="IPE5" s="7"/>
      <c r="IPL5" s="7"/>
      <c r="IPS5" s="7"/>
      <c r="IPZ5" s="7"/>
      <c r="IQG5" s="7"/>
      <c r="IQN5" s="7"/>
      <c r="IQU5" s="7"/>
      <c r="IRB5" s="7"/>
      <c r="IRI5" s="7"/>
      <c r="IRP5" s="7"/>
      <c r="IRW5" s="7"/>
      <c r="ISD5" s="7"/>
      <c r="ISK5" s="7"/>
      <c r="ISR5" s="7"/>
      <c r="ISY5" s="7"/>
      <c r="ITF5" s="7"/>
      <c r="ITM5" s="7"/>
      <c r="ITT5" s="7"/>
      <c r="IUA5" s="7"/>
      <c r="IUH5" s="7"/>
      <c r="IUO5" s="7"/>
      <c r="IUV5" s="7"/>
      <c r="IVC5" s="7"/>
      <c r="IVJ5" s="7"/>
      <c r="IVQ5" s="7"/>
      <c r="IVX5" s="7"/>
      <c r="IWE5" s="7"/>
      <c r="IWL5" s="7"/>
      <c r="IWS5" s="7"/>
      <c r="IWZ5" s="7"/>
      <c r="IXG5" s="7"/>
      <c r="IXN5" s="7"/>
      <c r="IXU5" s="7"/>
      <c r="IYB5" s="7"/>
      <c r="IYI5" s="7"/>
      <c r="IYP5" s="7"/>
      <c r="IYW5" s="7"/>
      <c r="IZD5" s="7"/>
      <c r="IZK5" s="7"/>
      <c r="IZR5" s="7"/>
      <c r="IZY5" s="7"/>
      <c r="JAF5" s="7"/>
      <c r="JAM5" s="7"/>
      <c r="JAT5" s="7"/>
      <c r="JBA5" s="7"/>
      <c r="JBH5" s="7"/>
      <c r="JBO5" s="7"/>
      <c r="JBV5" s="7"/>
      <c r="JCC5" s="7"/>
      <c r="JCJ5" s="7"/>
      <c r="JCQ5" s="7"/>
      <c r="JCX5" s="7"/>
      <c r="JDE5" s="7"/>
      <c r="JDL5" s="7"/>
      <c r="JDS5" s="7"/>
      <c r="JDZ5" s="7"/>
      <c r="JEG5" s="7"/>
      <c r="JEN5" s="7"/>
      <c r="JEU5" s="7"/>
      <c r="JFB5" s="7"/>
      <c r="JFI5" s="7"/>
      <c r="JFP5" s="7"/>
      <c r="JFW5" s="7"/>
      <c r="JGD5" s="7"/>
      <c r="JGK5" s="7"/>
      <c r="JGR5" s="7"/>
      <c r="JGY5" s="7"/>
      <c r="JHF5" s="7"/>
      <c r="JHM5" s="7"/>
      <c r="JHT5" s="7"/>
      <c r="JIA5" s="7"/>
      <c r="JIH5" s="7"/>
      <c r="JIO5" s="7"/>
      <c r="JIV5" s="7"/>
      <c r="JJC5" s="7"/>
      <c r="JJJ5" s="7"/>
      <c r="JJQ5" s="7"/>
      <c r="JJX5" s="7"/>
      <c r="JKE5" s="7"/>
      <c r="JKL5" s="7"/>
      <c r="JKS5" s="7"/>
      <c r="JKZ5" s="7"/>
      <c r="JLG5" s="7"/>
      <c r="JLN5" s="7"/>
      <c r="JLU5" s="7"/>
      <c r="JMB5" s="7"/>
      <c r="JMI5" s="7"/>
      <c r="JMP5" s="7"/>
      <c r="JMW5" s="7"/>
      <c r="JND5" s="7"/>
      <c r="JNK5" s="7"/>
      <c r="JNR5" s="7"/>
      <c r="JNY5" s="7"/>
      <c r="JOF5" s="7"/>
      <c r="JOM5" s="7"/>
      <c r="JOT5" s="7"/>
      <c r="JPA5" s="7"/>
      <c r="JPH5" s="7"/>
      <c r="JPO5" s="7"/>
      <c r="JPV5" s="7"/>
      <c r="JQC5" s="7"/>
      <c r="JQJ5" s="7"/>
      <c r="JQQ5" s="7"/>
      <c r="JQX5" s="7"/>
      <c r="JRE5" s="7"/>
      <c r="JRL5" s="7"/>
      <c r="JRS5" s="7"/>
      <c r="JRZ5" s="7"/>
      <c r="JSG5" s="7"/>
      <c r="JSN5" s="7"/>
      <c r="JSU5" s="7"/>
      <c r="JTB5" s="7"/>
      <c r="JTI5" s="7"/>
      <c r="JTP5" s="7"/>
      <c r="JTW5" s="7"/>
      <c r="JUD5" s="7"/>
      <c r="JUK5" s="7"/>
      <c r="JUR5" s="7"/>
      <c r="JUY5" s="7"/>
      <c r="JVF5" s="7"/>
      <c r="JVM5" s="7"/>
      <c r="JVT5" s="7"/>
      <c r="JWA5" s="7"/>
      <c r="JWH5" s="7"/>
      <c r="JWO5" s="7"/>
      <c r="JWV5" s="7"/>
      <c r="JXC5" s="7"/>
      <c r="JXJ5" s="7"/>
      <c r="JXQ5" s="7"/>
      <c r="JXX5" s="7"/>
      <c r="JYE5" s="7"/>
      <c r="JYL5" s="7"/>
      <c r="JYS5" s="7"/>
      <c r="JYZ5" s="7"/>
      <c r="JZG5" s="7"/>
      <c r="JZN5" s="7"/>
      <c r="JZU5" s="7"/>
      <c r="KAB5" s="7"/>
      <c r="KAI5" s="7"/>
      <c r="KAP5" s="7"/>
      <c r="KAW5" s="7"/>
      <c r="KBD5" s="7"/>
      <c r="KBK5" s="7"/>
      <c r="KBR5" s="7"/>
      <c r="KBY5" s="7"/>
      <c r="KCF5" s="7"/>
      <c r="KCM5" s="7"/>
      <c r="KCT5" s="7"/>
      <c r="KDA5" s="7"/>
      <c r="KDH5" s="7"/>
      <c r="KDO5" s="7"/>
      <c r="KDV5" s="7"/>
      <c r="KEC5" s="7"/>
      <c r="KEJ5" s="7"/>
      <c r="KEQ5" s="7"/>
      <c r="KEX5" s="7"/>
      <c r="KFE5" s="7"/>
      <c r="KFL5" s="7"/>
      <c r="KFS5" s="7"/>
      <c r="KFZ5" s="7"/>
      <c r="KGG5" s="7"/>
      <c r="KGN5" s="7"/>
      <c r="KGU5" s="7"/>
      <c r="KHB5" s="7"/>
      <c r="KHI5" s="7"/>
      <c r="KHP5" s="7"/>
      <c r="KHW5" s="7"/>
      <c r="KID5" s="7"/>
      <c r="KIK5" s="7"/>
      <c r="KIR5" s="7"/>
      <c r="KIY5" s="7"/>
      <c r="KJF5" s="7"/>
      <c r="KJM5" s="7"/>
      <c r="KJT5" s="7"/>
      <c r="KKA5" s="7"/>
      <c r="KKH5" s="7"/>
      <c r="KKO5" s="7"/>
      <c r="KKV5" s="7"/>
      <c r="KLC5" s="7"/>
      <c r="KLJ5" s="7"/>
      <c r="KLQ5" s="7"/>
      <c r="KLX5" s="7"/>
      <c r="KME5" s="7"/>
      <c r="KML5" s="7"/>
      <c r="KMS5" s="7"/>
      <c r="KMZ5" s="7"/>
      <c r="KNG5" s="7"/>
      <c r="KNN5" s="7"/>
      <c r="KNU5" s="7"/>
      <c r="KOB5" s="7"/>
      <c r="KOI5" s="7"/>
      <c r="KOP5" s="7"/>
      <c r="KOW5" s="7"/>
      <c r="KPD5" s="7"/>
      <c r="KPK5" s="7"/>
      <c r="KPR5" s="7"/>
      <c r="KPY5" s="7"/>
      <c r="KQF5" s="7"/>
      <c r="KQM5" s="7"/>
      <c r="KQT5" s="7"/>
      <c r="KRA5" s="7"/>
      <c r="KRH5" s="7"/>
      <c r="KRO5" s="7"/>
      <c r="KRV5" s="7"/>
      <c r="KSC5" s="7"/>
      <c r="KSJ5" s="7"/>
      <c r="KSQ5" s="7"/>
      <c r="KSX5" s="7"/>
      <c r="KTE5" s="7"/>
      <c r="KTL5" s="7"/>
      <c r="KTS5" s="7"/>
      <c r="KTZ5" s="7"/>
      <c r="KUG5" s="7"/>
      <c r="KUN5" s="7"/>
      <c r="KUU5" s="7"/>
      <c r="KVB5" s="7"/>
      <c r="KVI5" s="7"/>
      <c r="KVP5" s="7"/>
      <c r="KVW5" s="7"/>
      <c r="KWD5" s="7"/>
      <c r="KWK5" s="7"/>
      <c r="KWR5" s="7"/>
      <c r="KWY5" s="7"/>
      <c r="KXF5" s="7"/>
      <c r="KXM5" s="7"/>
      <c r="KXT5" s="7"/>
      <c r="KYA5" s="7"/>
      <c r="KYH5" s="7"/>
      <c r="KYO5" s="7"/>
      <c r="KYV5" s="7"/>
      <c r="KZC5" s="7"/>
      <c r="KZJ5" s="7"/>
      <c r="KZQ5" s="7"/>
      <c r="KZX5" s="7"/>
      <c r="LAE5" s="7"/>
      <c r="LAL5" s="7"/>
      <c r="LAS5" s="7"/>
      <c r="LAZ5" s="7"/>
      <c r="LBG5" s="7"/>
      <c r="LBN5" s="7"/>
      <c r="LBU5" s="7"/>
      <c r="LCB5" s="7"/>
      <c r="LCI5" s="7"/>
      <c r="LCP5" s="7"/>
      <c r="LCW5" s="7"/>
      <c r="LDD5" s="7"/>
      <c r="LDK5" s="7"/>
      <c r="LDR5" s="7"/>
      <c r="LDY5" s="7"/>
      <c r="LEF5" s="7"/>
      <c r="LEM5" s="7"/>
      <c r="LET5" s="7"/>
      <c r="LFA5" s="7"/>
      <c r="LFH5" s="7"/>
      <c r="LFO5" s="7"/>
      <c r="LFV5" s="7"/>
      <c r="LGC5" s="7"/>
      <c r="LGJ5" s="7"/>
      <c r="LGQ5" s="7"/>
      <c r="LGX5" s="7"/>
      <c r="LHE5" s="7"/>
      <c r="LHL5" s="7"/>
      <c r="LHS5" s="7"/>
      <c r="LHZ5" s="7"/>
      <c r="LIG5" s="7"/>
      <c r="LIN5" s="7"/>
      <c r="LIU5" s="7"/>
      <c r="LJB5" s="7"/>
      <c r="LJI5" s="7"/>
      <c r="LJP5" s="7"/>
      <c r="LJW5" s="7"/>
      <c r="LKD5" s="7"/>
      <c r="LKK5" s="7"/>
      <c r="LKR5" s="7"/>
      <c r="LKY5" s="7"/>
      <c r="LLF5" s="7"/>
      <c r="LLM5" s="7"/>
      <c r="LLT5" s="7"/>
      <c r="LMA5" s="7"/>
      <c r="LMH5" s="7"/>
      <c r="LMO5" s="7"/>
      <c r="LMV5" s="7"/>
      <c r="LNC5" s="7"/>
      <c r="LNJ5" s="7"/>
      <c r="LNQ5" s="7"/>
      <c r="LNX5" s="7"/>
      <c r="LOE5" s="7"/>
      <c r="LOL5" s="7"/>
      <c r="LOS5" s="7"/>
      <c r="LOZ5" s="7"/>
      <c r="LPG5" s="7"/>
      <c r="LPN5" s="7"/>
      <c r="LPU5" s="7"/>
      <c r="LQB5" s="7"/>
      <c r="LQI5" s="7"/>
      <c r="LQP5" s="7"/>
      <c r="LQW5" s="7"/>
      <c r="LRD5" s="7"/>
      <c r="LRK5" s="7"/>
      <c r="LRR5" s="7"/>
      <c r="LRY5" s="7"/>
      <c r="LSF5" s="7"/>
      <c r="LSM5" s="7"/>
      <c r="LST5" s="7"/>
      <c r="LTA5" s="7"/>
      <c r="LTH5" s="7"/>
      <c r="LTO5" s="7"/>
      <c r="LTV5" s="7"/>
      <c r="LUC5" s="7"/>
      <c r="LUJ5" s="7"/>
      <c r="LUQ5" s="7"/>
      <c r="LUX5" s="7"/>
      <c r="LVE5" s="7"/>
      <c r="LVL5" s="7"/>
      <c r="LVS5" s="7"/>
      <c r="LVZ5" s="7"/>
      <c r="LWG5" s="7"/>
      <c r="LWN5" s="7"/>
      <c r="LWU5" s="7"/>
      <c r="LXB5" s="7"/>
      <c r="LXI5" s="7"/>
      <c r="LXP5" s="7"/>
      <c r="LXW5" s="7"/>
      <c r="LYD5" s="7"/>
      <c r="LYK5" s="7"/>
      <c r="LYR5" s="7"/>
      <c r="LYY5" s="7"/>
      <c r="LZF5" s="7"/>
      <c r="LZM5" s="7"/>
      <c r="LZT5" s="7"/>
      <c r="MAA5" s="7"/>
      <c r="MAH5" s="7"/>
      <c r="MAO5" s="7"/>
      <c r="MAV5" s="7"/>
      <c r="MBC5" s="7"/>
      <c r="MBJ5" s="7"/>
      <c r="MBQ5" s="7"/>
      <c r="MBX5" s="7"/>
      <c r="MCE5" s="7"/>
      <c r="MCL5" s="7"/>
      <c r="MCS5" s="7"/>
      <c r="MCZ5" s="7"/>
      <c r="MDG5" s="7"/>
      <c r="MDN5" s="7"/>
      <c r="MDU5" s="7"/>
      <c r="MEB5" s="7"/>
      <c r="MEI5" s="7"/>
      <c r="MEP5" s="7"/>
      <c r="MEW5" s="7"/>
      <c r="MFD5" s="7"/>
      <c r="MFK5" s="7"/>
      <c r="MFR5" s="7"/>
      <c r="MFY5" s="7"/>
      <c r="MGF5" s="7"/>
      <c r="MGM5" s="7"/>
      <c r="MGT5" s="7"/>
      <c r="MHA5" s="7"/>
      <c r="MHH5" s="7"/>
      <c r="MHO5" s="7"/>
      <c r="MHV5" s="7"/>
      <c r="MIC5" s="7"/>
      <c r="MIJ5" s="7"/>
      <c r="MIQ5" s="7"/>
      <c r="MIX5" s="7"/>
      <c r="MJE5" s="7"/>
      <c r="MJL5" s="7"/>
      <c r="MJS5" s="7"/>
      <c r="MJZ5" s="7"/>
      <c r="MKG5" s="7"/>
      <c r="MKN5" s="7"/>
      <c r="MKU5" s="7"/>
      <c r="MLB5" s="7"/>
      <c r="MLI5" s="7"/>
      <c r="MLP5" s="7"/>
      <c r="MLW5" s="7"/>
      <c r="MMD5" s="7"/>
      <c r="MMK5" s="7"/>
      <c r="MMR5" s="7"/>
      <c r="MMY5" s="7"/>
      <c r="MNF5" s="7"/>
      <c r="MNM5" s="7"/>
      <c r="MNT5" s="7"/>
      <c r="MOA5" s="7"/>
      <c r="MOH5" s="7"/>
      <c r="MOO5" s="7"/>
      <c r="MOV5" s="7"/>
      <c r="MPC5" s="7"/>
      <c r="MPJ5" s="7"/>
      <c r="MPQ5" s="7"/>
      <c r="MPX5" s="7"/>
      <c r="MQE5" s="7"/>
      <c r="MQL5" s="7"/>
      <c r="MQS5" s="7"/>
      <c r="MQZ5" s="7"/>
      <c r="MRG5" s="7"/>
      <c r="MRN5" s="7"/>
      <c r="MRU5" s="7"/>
      <c r="MSB5" s="7"/>
      <c r="MSI5" s="7"/>
      <c r="MSP5" s="7"/>
      <c r="MSW5" s="7"/>
      <c r="MTD5" s="7"/>
      <c r="MTK5" s="7"/>
      <c r="MTR5" s="7"/>
      <c r="MTY5" s="7"/>
      <c r="MUF5" s="7"/>
      <c r="MUM5" s="7"/>
      <c r="MUT5" s="7"/>
      <c r="MVA5" s="7"/>
      <c r="MVH5" s="7"/>
      <c r="MVO5" s="7"/>
      <c r="MVV5" s="7"/>
      <c r="MWC5" s="7"/>
      <c r="MWJ5" s="7"/>
      <c r="MWQ5" s="7"/>
      <c r="MWX5" s="7"/>
      <c r="MXE5" s="7"/>
      <c r="MXL5" s="7"/>
      <c r="MXS5" s="7"/>
      <c r="MXZ5" s="7"/>
      <c r="MYG5" s="7"/>
      <c r="MYN5" s="7"/>
      <c r="MYU5" s="7"/>
      <c r="MZB5" s="7"/>
      <c r="MZI5" s="7"/>
      <c r="MZP5" s="7"/>
      <c r="MZW5" s="7"/>
      <c r="NAD5" s="7"/>
      <c r="NAK5" s="7"/>
      <c r="NAR5" s="7"/>
      <c r="NAY5" s="7"/>
      <c r="NBF5" s="7"/>
      <c r="NBM5" s="7"/>
      <c r="NBT5" s="7"/>
      <c r="NCA5" s="7"/>
      <c r="NCH5" s="7"/>
      <c r="NCO5" s="7"/>
      <c r="NCV5" s="7"/>
      <c r="NDC5" s="7"/>
      <c r="NDJ5" s="7"/>
      <c r="NDQ5" s="7"/>
      <c r="NDX5" s="7"/>
      <c r="NEE5" s="7"/>
      <c r="NEL5" s="7"/>
      <c r="NES5" s="7"/>
      <c r="NEZ5" s="7"/>
      <c r="NFG5" s="7"/>
      <c r="NFN5" s="7"/>
      <c r="NFU5" s="7"/>
      <c r="NGB5" s="7"/>
      <c r="NGI5" s="7"/>
      <c r="NGP5" s="7"/>
      <c r="NGW5" s="7"/>
      <c r="NHD5" s="7"/>
      <c r="NHK5" s="7"/>
      <c r="NHR5" s="7"/>
      <c r="NHY5" s="7"/>
      <c r="NIF5" s="7"/>
      <c r="NIM5" s="7"/>
      <c r="NIT5" s="7"/>
      <c r="NJA5" s="7"/>
      <c r="NJH5" s="7"/>
      <c r="NJO5" s="7"/>
      <c r="NJV5" s="7"/>
      <c r="NKC5" s="7"/>
      <c r="NKJ5" s="7"/>
      <c r="NKQ5" s="7"/>
      <c r="NKX5" s="7"/>
      <c r="NLE5" s="7"/>
      <c r="NLL5" s="7"/>
      <c r="NLS5" s="7"/>
      <c r="NLZ5" s="7"/>
      <c r="NMG5" s="7"/>
      <c r="NMN5" s="7"/>
      <c r="NMU5" s="7"/>
      <c r="NNB5" s="7"/>
      <c r="NNI5" s="7"/>
      <c r="NNP5" s="7"/>
      <c r="NNW5" s="7"/>
      <c r="NOD5" s="7"/>
      <c r="NOK5" s="7"/>
      <c r="NOR5" s="7"/>
      <c r="NOY5" s="7"/>
      <c r="NPF5" s="7"/>
      <c r="NPM5" s="7"/>
      <c r="NPT5" s="7"/>
      <c r="NQA5" s="7"/>
      <c r="NQH5" s="7"/>
      <c r="NQO5" s="7"/>
      <c r="NQV5" s="7"/>
      <c r="NRC5" s="7"/>
      <c r="NRJ5" s="7"/>
      <c r="NRQ5" s="7"/>
      <c r="NRX5" s="7"/>
      <c r="NSE5" s="7"/>
      <c r="NSL5" s="7"/>
      <c r="NSS5" s="7"/>
      <c r="NSZ5" s="7"/>
      <c r="NTG5" s="7"/>
      <c r="NTN5" s="7"/>
      <c r="NTU5" s="7"/>
      <c r="NUB5" s="7"/>
      <c r="NUI5" s="7"/>
      <c r="NUP5" s="7"/>
      <c r="NUW5" s="7"/>
      <c r="NVD5" s="7"/>
      <c r="NVK5" s="7"/>
      <c r="NVR5" s="7"/>
      <c r="NVY5" s="7"/>
      <c r="NWF5" s="7"/>
      <c r="NWM5" s="7"/>
      <c r="NWT5" s="7"/>
      <c r="NXA5" s="7"/>
      <c r="NXH5" s="7"/>
      <c r="NXO5" s="7"/>
      <c r="NXV5" s="7"/>
      <c r="NYC5" s="7"/>
      <c r="NYJ5" s="7"/>
      <c r="NYQ5" s="7"/>
      <c r="NYX5" s="7"/>
      <c r="NZE5" s="7"/>
      <c r="NZL5" s="7"/>
      <c r="NZS5" s="7"/>
      <c r="NZZ5" s="7"/>
      <c r="OAG5" s="7"/>
      <c r="OAN5" s="7"/>
      <c r="OAU5" s="7"/>
      <c r="OBB5" s="7"/>
      <c r="OBI5" s="7"/>
      <c r="OBP5" s="7"/>
      <c r="OBW5" s="7"/>
      <c r="OCD5" s="7"/>
      <c r="OCK5" s="7"/>
      <c r="OCR5" s="7"/>
      <c r="OCY5" s="7"/>
      <c r="ODF5" s="7"/>
      <c r="ODM5" s="7"/>
      <c r="ODT5" s="7"/>
      <c r="OEA5" s="7"/>
      <c r="OEH5" s="7"/>
      <c r="OEO5" s="7"/>
      <c r="OEV5" s="7"/>
      <c r="OFC5" s="7"/>
      <c r="OFJ5" s="7"/>
      <c r="OFQ5" s="7"/>
      <c r="OFX5" s="7"/>
      <c r="OGE5" s="7"/>
      <c r="OGL5" s="7"/>
      <c r="OGS5" s="7"/>
      <c r="OGZ5" s="7"/>
      <c r="OHG5" s="7"/>
      <c r="OHN5" s="7"/>
      <c r="OHU5" s="7"/>
      <c r="OIB5" s="7"/>
      <c r="OII5" s="7"/>
      <c r="OIP5" s="7"/>
      <c r="OIW5" s="7"/>
      <c r="OJD5" s="7"/>
      <c r="OJK5" s="7"/>
      <c r="OJR5" s="7"/>
      <c r="OJY5" s="7"/>
      <c r="OKF5" s="7"/>
      <c r="OKM5" s="7"/>
      <c r="OKT5" s="7"/>
      <c r="OLA5" s="7"/>
      <c r="OLH5" s="7"/>
      <c r="OLO5" s="7"/>
      <c r="OLV5" s="7"/>
      <c r="OMC5" s="7"/>
      <c r="OMJ5" s="7"/>
      <c r="OMQ5" s="7"/>
      <c r="OMX5" s="7"/>
      <c r="ONE5" s="7"/>
      <c r="ONL5" s="7"/>
      <c r="ONS5" s="7"/>
      <c r="ONZ5" s="7"/>
      <c r="OOG5" s="7"/>
      <c r="OON5" s="7"/>
      <c r="OOU5" s="7"/>
      <c r="OPB5" s="7"/>
      <c r="OPI5" s="7"/>
      <c r="OPP5" s="7"/>
      <c r="OPW5" s="7"/>
      <c r="OQD5" s="7"/>
      <c r="OQK5" s="7"/>
      <c r="OQR5" s="7"/>
      <c r="OQY5" s="7"/>
      <c r="ORF5" s="7"/>
      <c r="ORM5" s="7"/>
      <c r="ORT5" s="7"/>
      <c r="OSA5" s="7"/>
      <c r="OSH5" s="7"/>
      <c r="OSO5" s="7"/>
      <c r="OSV5" s="7"/>
      <c r="OTC5" s="7"/>
      <c r="OTJ5" s="7"/>
      <c r="OTQ5" s="7"/>
      <c r="OTX5" s="7"/>
      <c r="OUE5" s="7"/>
      <c r="OUL5" s="7"/>
      <c r="OUS5" s="7"/>
      <c r="OUZ5" s="7"/>
      <c r="OVG5" s="7"/>
      <c r="OVN5" s="7"/>
      <c r="OVU5" s="7"/>
      <c r="OWB5" s="7"/>
      <c r="OWI5" s="7"/>
      <c r="OWP5" s="7"/>
      <c r="OWW5" s="7"/>
      <c r="OXD5" s="7"/>
      <c r="OXK5" s="7"/>
      <c r="OXR5" s="7"/>
      <c r="OXY5" s="7"/>
      <c r="OYF5" s="7"/>
      <c r="OYM5" s="7"/>
      <c r="OYT5" s="7"/>
      <c r="OZA5" s="7"/>
      <c r="OZH5" s="7"/>
      <c r="OZO5" s="7"/>
      <c r="OZV5" s="7"/>
      <c r="PAC5" s="7"/>
      <c r="PAJ5" s="7"/>
      <c r="PAQ5" s="7"/>
      <c r="PAX5" s="7"/>
      <c r="PBE5" s="7"/>
      <c r="PBL5" s="7"/>
      <c r="PBS5" s="7"/>
      <c r="PBZ5" s="7"/>
      <c r="PCG5" s="7"/>
      <c r="PCN5" s="7"/>
      <c r="PCU5" s="7"/>
      <c r="PDB5" s="7"/>
      <c r="PDI5" s="7"/>
      <c r="PDP5" s="7"/>
      <c r="PDW5" s="7"/>
      <c r="PED5" s="7"/>
      <c r="PEK5" s="7"/>
      <c r="PER5" s="7"/>
      <c r="PEY5" s="7"/>
      <c r="PFF5" s="7"/>
      <c r="PFM5" s="7"/>
      <c r="PFT5" s="7"/>
      <c r="PGA5" s="7"/>
      <c r="PGH5" s="7"/>
      <c r="PGO5" s="7"/>
      <c r="PGV5" s="7"/>
      <c r="PHC5" s="7"/>
      <c r="PHJ5" s="7"/>
      <c r="PHQ5" s="7"/>
      <c r="PHX5" s="7"/>
      <c r="PIE5" s="7"/>
      <c r="PIL5" s="7"/>
      <c r="PIS5" s="7"/>
      <c r="PIZ5" s="7"/>
      <c r="PJG5" s="7"/>
      <c r="PJN5" s="7"/>
      <c r="PJU5" s="7"/>
      <c r="PKB5" s="7"/>
      <c r="PKI5" s="7"/>
      <c r="PKP5" s="7"/>
      <c r="PKW5" s="7"/>
      <c r="PLD5" s="7"/>
      <c r="PLK5" s="7"/>
      <c r="PLR5" s="7"/>
      <c r="PLY5" s="7"/>
      <c r="PMF5" s="7"/>
      <c r="PMM5" s="7"/>
      <c r="PMT5" s="7"/>
      <c r="PNA5" s="7"/>
      <c r="PNH5" s="7"/>
      <c r="PNO5" s="7"/>
      <c r="PNV5" s="7"/>
      <c r="POC5" s="7"/>
      <c r="POJ5" s="7"/>
      <c r="POQ5" s="7"/>
      <c r="POX5" s="7"/>
      <c r="PPE5" s="7"/>
      <c r="PPL5" s="7"/>
      <c r="PPS5" s="7"/>
      <c r="PPZ5" s="7"/>
      <c r="PQG5" s="7"/>
      <c r="PQN5" s="7"/>
      <c r="PQU5" s="7"/>
      <c r="PRB5" s="7"/>
      <c r="PRI5" s="7"/>
      <c r="PRP5" s="7"/>
      <c r="PRW5" s="7"/>
      <c r="PSD5" s="7"/>
      <c r="PSK5" s="7"/>
      <c r="PSR5" s="7"/>
      <c r="PSY5" s="7"/>
      <c r="PTF5" s="7"/>
      <c r="PTM5" s="7"/>
      <c r="PTT5" s="7"/>
      <c r="PUA5" s="7"/>
      <c r="PUH5" s="7"/>
      <c r="PUO5" s="7"/>
      <c r="PUV5" s="7"/>
      <c r="PVC5" s="7"/>
      <c r="PVJ5" s="7"/>
      <c r="PVQ5" s="7"/>
      <c r="PVX5" s="7"/>
      <c r="PWE5" s="7"/>
      <c r="PWL5" s="7"/>
      <c r="PWS5" s="7"/>
      <c r="PWZ5" s="7"/>
      <c r="PXG5" s="7"/>
      <c r="PXN5" s="7"/>
      <c r="PXU5" s="7"/>
      <c r="PYB5" s="7"/>
      <c r="PYI5" s="7"/>
      <c r="PYP5" s="7"/>
      <c r="PYW5" s="7"/>
      <c r="PZD5" s="7"/>
      <c r="PZK5" s="7"/>
      <c r="PZR5" s="7"/>
      <c r="PZY5" s="7"/>
      <c r="QAF5" s="7"/>
      <c r="QAM5" s="7"/>
      <c r="QAT5" s="7"/>
      <c r="QBA5" s="7"/>
      <c r="QBH5" s="7"/>
      <c r="QBO5" s="7"/>
      <c r="QBV5" s="7"/>
      <c r="QCC5" s="7"/>
      <c r="QCJ5" s="7"/>
      <c r="QCQ5" s="7"/>
      <c r="QCX5" s="7"/>
      <c r="QDE5" s="7"/>
      <c r="QDL5" s="7"/>
      <c r="QDS5" s="7"/>
      <c r="QDZ5" s="7"/>
      <c r="QEG5" s="7"/>
      <c r="QEN5" s="7"/>
      <c r="QEU5" s="7"/>
      <c r="QFB5" s="7"/>
      <c r="QFI5" s="7"/>
      <c r="QFP5" s="7"/>
      <c r="QFW5" s="7"/>
      <c r="QGD5" s="7"/>
      <c r="QGK5" s="7"/>
      <c r="QGR5" s="7"/>
      <c r="QGY5" s="7"/>
      <c r="QHF5" s="7"/>
      <c r="QHM5" s="7"/>
      <c r="QHT5" s="7"/>
      <c r="QIA5" s="7"/>
      <c r="QIH5" s="7"/>
      <c r="QIO5" s="7"/>
      <c r="QIV5" s="7"/>
      <c r="QJC5" s="7"/>
      <c r="QJJ5" s="7"/>
      <c r="QJQ5" s="7"/>
      <c r="QJX5" s="7"/>
      <c r="QKE5" s="7"/>
      <c r="QKL5" s="7"/>
      <c r="QKS5" s="7"/>
      <c r="QKZ5" s="7"/>
      <c r="QLG5" s="7"/>
      <c r="QLN5" s="7"/>
      <c r="QLU5" s="7"/>
      <c r="QMB5" s="7"/>
      <c r="QMI5" s="7"/>
      <c r="QMP5" s="7"/>
      <c r="QMW5" s="7"/>
      <c r="QND5" s="7"/>
      <c r="QNK5" s="7"/>
      <c r="QNR5" s="7"/>
      <c r="QNY5" s="7"/>
      <c r="QOF5" s="7"/>
      <c r="QOM5" s="7"/>
      <c r="QOT5" s="7"/>
      <c r="QPA5" s="7"/>
      <c r="QPH5" s="7"/>
      <c r="QPO5" s="7"/>
      <c r="QPV5" s="7"/>
      <c r="QQC5" s="7"/>
      <c r="QQJ5" s="7"/>
      <c r="QQQ5" s="7"/>
      <c r="QQX5" s="7"/>
      <c r="QRE5" s="7"/>
      <c r="QRL5" s="7"/>
      <c r="QRS5" s="7"/>
      <c r="QRZ5" s="7"/>
      <c r="QSG5" s="7"/>
      <c r="QSN5" s="7"/>
      <c r="QSU5" s="7"/>
      <c r="QTB5" s="7"/>
      <c r="QTI5" s="7"/>
      <c r="QTP5" s="7"/>
      <c r="QTW5" s="7"/>
      <c r="QUD5" s="7"/>
      <c r="QUK5" s="7"/>
      <c r="QUR5" s="7"/>
      <c r="QUY5" s="7"/>
      <c r="QVF5" s="7"/>
      <c r="QVM5" s="7"/>
      <c r="QVT5" s="7"/>
      <c r="QWA5" s="7"/>
      <c r="QWH5" s="7"/>
      <c r="QWO5" s="7"/>
      <c r="QWV5" s="7"/>
      <c r="QXC5" s="7"/>
      <c r="QXJ5" s="7"/>
      <c r="QXQ5" s="7"/>
      <c r="QXX5" s="7"/>
      <c r="QYE5" s="7"/>
      <c r="QYL5" s="7"/>
      <c r="QYS5" s="7"/>
      <c r="QYZ5" s="7"/>
      <c r="QZG5" s="7"/>
      <c r="QZN5" s="7"/>
      <c r="QZU5" s="7"/>
      <c r="RAB5" s="7"/>
      <c r="RAI5" s="7"/>
      <c r="RAP5" s="7"/>
      <c r="RAW5" s="7"/>
      <c r="RBD5" s="7"/>
      <c r="RBK5" s="7"/>
      <c r="RBR5" s="7"/>
      <c r="RBY5" s="7"/>
      <c r="RCF5" s="7"/>
      <c r="RCM5" s="7"/>
      <c r="RCT5" s="7"/>
      <c r="RDA5" s="7"/>
      <c r="RDH5" s="7"/>
      <c r="RDO5" s="7"/>
      <c r="RDV5" s="7"/>
      <c r="REC5" s="7"/>
      <c r="REJ5" s="7"/>
      <c r="REQ5" s="7"/>
      <c r="REX5" s="7"/>
      <c r="RFE5" s="7"/>
      <c r="RFL5" s="7"/>
      <c r="RFS5" s="7"/>
      <c r="RFZ5" s="7"/>
      <c r="RGG5" s="7"/>
      <c r="RGN5" s="7"/>
      <c r="RGU5" s="7"/>
      <c r="RHB5" s="7"/>
      <c r="RHI5" s="7"/>
      <c r="RHP5" s="7"/>
      <c r="RHW5" s="7"/>
      <c r="RID5" s="7"/>
      <c r="RIK5" s="7"/>
      <c r="RIR5" s="7"/>
      <c r="RIY5" s="7"/>
      <c r="RJF5" s="7"/>
      <c r="RJM5" s="7"/>
      <c r="RJT5" s="7"/>
      <c r="RKA5" s="7"/>
      <c r="RKH5" s="7"/>
      <c r="RKO5" s="7"/>
      <c r="RKV5" s="7"/>
      <c r="RLC5" s="7"/>
      <c r="RLJ5" s="7"/>
      <c r="RLQ5" s="7"/>
      <c r="RLX5" s="7"/>
      <c r="RME5" s="7"/>
      <c r="RML5" s="7"/>
      <c r="RMS5" s="7"/>
      <c r="RMZ5" s="7"/>
      <c r="RNG5" s="7"/>
      <c r="RNN5" s="7"/>
      <c r="RNU5" s="7"/>
      <c r="ROB5" s="7"/>
      <c r="ROI5" s="7"/>
      <c r="ROP5" s="7"/>
      <c r="ROW5" s="7"/>
      <c r="RPD5" s="7"/>
      <c r="RPK5" s="7"/>
      <c r="RPR5" s="7"/>
      <c r="RPY5" s="7"/>
      <c r="RQF5" s="7"/>
      <c r="RQM5" s="7"/>
      <c r="RQT5" s="7"/>
      <c r="RRA5" s="7"/>
      <c r="RRH5" s="7"/>
      <c r="RRO5" s="7"/>
      <c r="RRV5" s="7"/>
      <c r="RSC5" s="7"/>
      <c r="RSJ5" s="7"/>
      <c r="RSQ5" s="7"/>
      <c r="RSX5" s="7"/>
      <c r="RTE5" s="7"/>
      <c r="RTL5" s="7"/>
      <c r="RTS5" s="7"/>
      <c r="RTZ5" s="7"/>
      <c r="RUG5" s="7"/>
      <c r="RUN5" s="7"/>
      <c r="RUU5" s="7"/>
      <c r="RVB5" s="7"/>
      <c r="RVI5" s="7"/>
      <c r="RVP5" s="7"/>
      <c r="RVW5" s="7"/>
      <c r="RWD5" s="7"/>
      <c r="RWK5" s="7"/>
      <c r="RWR5" s="7"/>
      <c r="RWY5" s="7"/>
      <c r="RXF5" s="7"/>
      <c r="RXM5" s="7"/>
      <c r="RXT5" s="7"/>
      <c r="RYA5" s="7"/>
      <c r="RYH5" s="7"/>
      <c r="RYO5" s="7"/>
      <c r="RYV5" s="7"/>
      <c r="RZC5" s="7"/>
      <c r="RZJ5" s="7"/>
      <c r="RZQ5" s="7"/>
      <c r="RZX5" s="7"/>
      <c r="SAE5" s="7"/>
      <c r="SAL5" s="7"/>
      <c r="SAS5" s="7"/>
      <c r="SAZ5" s="7"/>
      <c r="SBG5" s="7"/>
      <c r="SBN5" s="7"/>
      <c r="SBU5" s="7"/>
      <c r="SCB5" s="7"/>
      <c r="SCI5" s="7"/>
      <c r="SCP5" s="7"/>
      <c r="SCW5" s="7"/>
      <c r="SDD5" s="7"/>
      <c r="SDK5" s="7"/>
      <c r="SDR5" s="7"/>
      <c r="SDY5" s="7"/>
      <c r="SEF5" s="7"/>
      <c r="SEM5" s="7"/>
      <c r="SET5" s="7"/>
      <c r="SFA5" s="7"/>
      <c r="SFH5" s="7"/>
      <c r="SFO5" s="7"/>
      <c r="SFV5" s="7"/>
      <c r="SGC5" s="7"/>
      <c r="SGJ5" s="7"/>
      <c r="SGQ5" s="7"/>
      <c r="SGX5" s="7"/>
      <c r="SHE5" s="7"/>
      <c r="SHL5" s="7"/>
      <c r="SHS5" s="7"/>
      <c r="SHZ5" s="7"/>
      <c r="SIG5" s="7"/>
      <c r="SIN5" s="7"/>
      <c r="SIU5" s="7"/>
      <c r="SJB5" s="7"/>
      <c r="SJI5" s="7"/>
      <c r="SJP5" s="7"/>
      <c r="SJW5" s="7"/>
      <c r="SKD5" s="7"/>
      <c r="SKK5" s="7"/>
      <c r="SKR5" s="7"/>
      <c r="SKY5" s="7"/>
      <c r="SLF5" s="7"/>
      <c r="SLM5" s="7"/>
      <c r="SLT5" s="7"/>
      <c r="SMA5" s="7"/>
      <c r="SMH5" s="7"/>
      <c r="SMO5" s="7"/>
      <c r="SMV5" s="7"/>
      <c r="SNC5" s="7"/>
      <c r="SNJ5" s="7"/>
      <c r="SNQ5" s="7"/>
      <c r="SNX5" s="7"/>
      <c r="SOE5" s="7"/>
      <c r="SOL5" s="7"/>
      <c r="SOS5" s="7"/>
      <c r="SOZ5" s="7"/>
      <c r="SPG5" s="7"/>
      <c r="SPN5" s="7"/>
      <c r="SPU5" s="7"/>
      <c r="SQB5" s="7"/>
      <c r="SQI5" s="7"/>
      <c r="SQP5" s="7"/>
      <c r="SQW5" s="7"/>
      <c r="SRD5" s="7"/>
      <c r="SRK5" s="7"/>
      <c r="SRR5" s="7"/>
      <c r="SRY5" s="7"/>
      <c r="SSF5" s="7"/>
      <c r="SSM5" s="7"/>
      <c r="SST5" s="7"/>
      <c r="STA5" s="7"/>
      <c r="STH5" s="7"/>
      <c r="STO5" s="7"/>
      <c r="STV5" s="7"/>
      <c r="SUC5" s="7"/>
      <c r="SUJ5" s="7"/>
      <c r="SUQ5" s="7"/>
      <c r="SUX5" s="7"/>
      <c r="SVE5" s="7"/>
      <c r="SVL5" s="7"/>
      <c r="SVS5" s="7"/>
      <c r="SVZ5" s="7"/>
      <c r="SWG5" s="7"/>
      <c r="SWN5" s="7"/>
      <c r="SWU5" s="7"/>
      <c r="SXB5" s="7"/>
      <c r="SXI5" s="7"/>
      <c r="SXP5" s="7"/>
      <c r="SXW5" s="7"/>
      <c r="SYD5" s="7"/>
      <c r="SYK5" s="7"/>
      <c r="SYR5" s="7"/>
      <c r="SYY5" s="7"/>
      <c r="SZF5" s="7"/>
      <c r="SZM5" s="7"/>
      <c r="SZT5" s="7"/>
      <c r="TAA5" s="7"/>
      <c r="TAH5" s="7"/>
      <c r="TAO5" s="7"/>
      <c r="TAV5" s="7"/>
      <c r="TBC5" s="7"/>
      <c r="TBJ5" s="7"/>
      <c r="TBQ5" s="7"/>
      <c r="TBX5" s="7"/>
      <c r="TCE5" s="7"/>
      <c r="TCL5" s="7"/>
      <c r="TCS5" s="7"/>
      <c r="TCZ5" s="7"/>
      <c r="TDG5" s="7"/>
      <c r="TDN5" s="7"/>
      <c r="TDU5" s="7"/>
      <c r="TEB5" s="7"/>
      <c r="TEI5" s="7"/>
      <c r="TEP5" s="7"/>
      <c r="TEW5" s="7"/>
      <c r="TFD5" s="7"/>
      <c r="TFK5" s="7"/>
      <c r="TFR5" s="7"/>
      <c r="TFY5" s="7"/>
      <c r="TGF5" s="7"/>
      <c r="TGM5" s="7"/>
      <c r="TGT5" s="7"/>
      <c r="THA5" s="7"/>
      <c r="THH5" s="7"/>
      <c r="THO5" s="7"/>
      <c r="THV5" s="7"/>
      <c r="TIC5" s="7"/>
      <c r="TIJ5" s="7"/>
      <c r="TIQ5" s="7"/>
      <c r="TIX5" s="7"/>
      <c r="TJE5" s="7"/>
      <c r="TJL5" s="7"/>
      <c r="TJS5" s="7"/>
      <c r="TJZ5" s="7"/>
      <c r="TKG5" s="7"/>
      <c r="TKN5" s="7"/>
      <c r="TKU5" s="7"/>
      <c r="TLB5" s="7"/>
      <c r="TLI5" s="7"/>
      <c r="TLP5" s="7"/>
      <c r="TLW5" s="7"/>
      <c r="TMD5" s="7"/>
      <c r="TMK5" s="7"/>
      <c r="TMR5" s="7"/>
      <c r="TMY5" s="7"/>
      <c r="TNF5" s="7"/>
      <c r="TNM5" s="7"/>
      <c r="TNT5" s="7"/>
      <c r="TOA5" s="7"/>
      <c r="TOH5" s="7"/>
      <c r="TOO5" s="7"/>
      <c r="TOV5" s="7"/>
      <c r="TPC5" s="7"/>
      <c r="TPJ5" s="7"/>
      <c r="TPQ5" s="7"/>
      <c r="TPX5" s="7"/>
      <c r="TQE5" s="7"/>
      <c r="TQL5" s="7"/>
      <c r="TQS5" s="7"/>
      <c r="TQZ5" s="7"/>
      <c r="TRG5" s="7"/>
      <c r="TRN5" s="7"/>
      <c r="TRU5" s="7"/>
      <c r="TSB5" s="7"/>
      <c r="TSI5" s="7"/>
      <c r="TSP5" s="7"/>
      <c r="TSW5" s="7"/>
      <c r="TTD5" s="7"/>
      <c r="TTK5" s="7"/>
      <c r="TTR5" s="7"/>
      <c r="TTY5" s="7"/>
      <c r="TUF5" s="7"/>
      <c r="TUM5" s="7"/>
      <c r="TUT5" s="7"/>
      <c r="TVA5" s="7"/>
      <c r="TVH5" s="7"/>
      <c r="TVO5" s="7"/>
      <c r="TVV5" s="7"/>
      <c r="TWC5" s="7"/>
      <c r="TWJ5" s="7"/>
      <c r="TWQ5" s="7"/>
      <c r="TWX5" s="7"/>
      <c r="TXE5" s="7"/>
      <c r="TXL5" s="7"/>
      <c r="TXS5" s="7"/>
      <c r="TXZ5" s="7"/>
      <c r="TYG5" s="7"/>
      <c r="TYN5" s="7"/>
      <c r="TYU5" s="7"/>
      <c r="TZB5" s="7"/>
      <c r="TZI5" s="7"/>
      <c r="TZP5" s="7"/>
      <c r="TZW5" s="7"/>
      <c r="UAD5" s="7"/>
      <c r="UAK5" s="7"/>
      <c r="UAR5" s="7"/>
      <c r="UAY5" s="7"/>
      <c r="UBF5" s="7"/>
      <c r="UBM5" s="7"/>
      <c r="UBT5" s="7"/>
      <c r="UCA5" s="7"/>
      <c r="UCH5" s="7"/>
      <c r="UCO5" s="7"/>
      <c r="UCV5" s="7"/>
      <c r="UDC5" s="7"/>
      <c r="UDJ5" s="7"/>
      <c r="UDQ5" s="7"/>
      <c r="UDX5" s="7"/>
      <c r="UEE5" s="7"/>
      <c r="UEL5" s="7"/>
      <c r="UES5" s="7"/>
      <c r="UEZ5" s="7"/>
      <c r="UFG5" s="7"/>
      <c r="UFN5" s="7"/>
      <c r="UFU5" s="7"/>
      <c r="UGB5" s="7"/>
      <c r="UGI5" s="7"/>
      <c r="UGP5" s="7"/>
      <c r="UGW5" s="7"/>
      <c r="UHD5" s="7"/>
      <c r="UHK5" s="7"/>
      <c r="UHR5" s="7"/>
      <c r="UHY5" s="7"/>
      <c r="UIF5" s="7"/>
      <c r="UIM5" s="7"/>
      <c r="UIT5" s="7"/>
      <c r="UJA5" s="7"/>
      <c r="UJH5" s="7"/>
      <c r="UJO5" s="7"/>
      <c r="UJV5" s="7"/>
      <c r="UKC5" s="7"/>
      <c r="UKJ5" s="7"/>
      <c r="UKQ5" s="7"/>
      <c r="UKX5" s="7"/>
      <c r="ULE5" s="7"/>
      <c r="ULL5" s="7"/>
      <c r="ULS5" s="7"/>
      <c r="ULZ5" s="7"/>
      <c r="UMG5" s="7"/>
      <c r="UMN5" s="7"/>
      <c r="UMU5" s="7"/>
      <c r="UNB5" s="7"/>
      <c r="UNI5" s="7"/>
      <c r="UNP5" s="7"/>
      <c r="UNW5" s="7"/>
      <c r="UOD5" s="7"/>
      <c r="UOK5" s="7"/>
      <c r="UOR5" s="7"/>
      <c r="UOY5" s="7"/>
      <c r="UPF5" s="7"/>
      <c r="UPM5" s="7"/>
      <c r="UPT5" s="7"/>
      <c r="UQA5" s="7"/>
      <c r="UQH5" s="7"/>
      <c r="UQO5" s="7"/>
      <c r="UQV5" s="7"/>
      <c r="URC5" s="7"/>
      <c r="URJ5" s="7"/>
      <c r="URQ5" s="7"/>
      <c r="URX5" s="7"/>
      <c r="USE5" s="7"/>
      <c r="USL5" s="7"/>
      <c r="USS5" s="7"/>
      <c r="USZ5" s="7"/>
      <c r="UTG5" s="7"/>
      <c r="UTN5" s="7"/>
      <c r="UTU5" s="7"/>
      <c r="UUB5" s="7"/>
      <c r="UUI5" s="7"/>
      <c r="UUP5" s="7"/>
      <c r="UUW5" s="7"/>
      <c r="UVD5" s="7"/>
      <c r="UVK5" s="7"/>
      <c r="UVR5" s="7"/>
      <c r="UVY5" s="7"/>
      <c r="UWF5" s="7"/>
      <c r="UWM5" s="7"/>
      <c r="UWT5" s="7"/>
      <c r="UXA5" s="7"/>
      <c r="UXH5" s="7"/>
      <c r="UXO5" s="7"/>
      <c r="UXV5" s="7"/>
      <c r="UYC5" s="7"/>
      <c r="UYJ5" s="7"/>
      <c r="UYQ5" s="7"/>
      <c r="UYX5" s="7"/>
      <c r="UZE5" s="7"/>
      <c r="UZL5" s="7"/>
      <c r="UZS5" s="7"/>
      <c r="UZZ5" s="7"/>
      <c r="VAG5" s="7"/>
      <c r="VAN5" s="7"/>
      <c r="VAU5" s="7"/>
      <c r="VBB5" s="7"/>
      <c r="VBI5" s="7"/>
      <c r="VBP5" s="7"/>
      <c r="VBW5" s="7"/>
      <c r="VCD5" s="7"/>
      <c r="VCK5" s="7"/>
      <c r="VCR5" s="7"/>
      <c r="VCY5" s="7"/>
      <c r="VDF5" s="7"/>
      <c r="VDM5" s="7"/>
      <c r="VDT5" s="7"/>
      <c r="VEA5" s="7"/>
      <c r="VEH5" s="7"/>
      <c r="VEO5" s="7"/>
      <c r="VEV5" s="7"/>
      <c r="VFC5" s="7"/>
      <c r="VFJ5" s="7"/>
      <c r="VFQ5" s="7"/>
      <c r="VFX5" s="7"/>
      <c r="VGE5" s="7"/>
      <c r="VGL5" s="7"/>
      <c r="VGS5" s="7"/>
      <c r="VGZ5" s="7"/>
      <c r="VHG5" s="7"/>
      <c r="VHN5" s="7"/>
      <c r="VHU5" s="7"/>
      <c r="VIB5" s="7"/>
      <c r="VII5" s="7"/>
      <c r="VIP5" s="7"/>
      <c r="VIW5" s="7"/>
      <c r="VJD5" s="7"/>
      <c r="VJK5" s="7"/>
      <c r="VJR5" s="7"/>
      <c r="VJY5" s="7"/>
      <c r="VKF5" s="7"/>
      <c r="VKM5" s="7"/>
      <c r="VKT5" s="7"/>
      <c r="VLA5" s="7"/>
      <c r="VLH5" s="7"/>
      <c r="VLO5" s="7"/>
      <c r="VLV5" s="7"/>
      <c r="VMC5" s="7"/>
      <c r="VMJ5" s="7"/>
      <c r="VMQ5" s="7"/>
      <c r="VMX5" s="7"/>
      <c r="VNE5" s="7"/>
      <c r="VNL5" s="7"/>
      <c r="VNS5" s="7"/>
      <c r="VNZ5" s="7"/>
      <c r="VOG5" s="7"/>
      <c r="VON5" s="7"/>
      <c r="VOU5" s="7"/>
      <c r="VPB5" s="7"/>
      <c r="VPI5" s="7"/>
      <c r="VPP5" s="7"/>
      <c r="VPW5" s="7"/>
      <c r="VQD5" s="7"/>
      <c r="VQK5" s="7"/>
      <c r="VQR5" s="7"/>
      <c r="VQY5" s="7"/>
      <c r="VRF5" s="7"/>
      <c r="VRM5" s="7"/>
      <c r="VRT5" s="7"/>
      <c r="VSA5" s="7"/>
      <c r="VSH5" s="7"/>
      <c r="VSO5" s="7"/>
      <c r="VSV5" s="7"/>
      <c r="VTC5" s="7"/>
      <c r="VTJ5" s="7"/>
      <c r="VTQ5" s="7"/>
      <c r="VTX5" s="7"/>
      <c r="VUE5" s="7"/>
      <c r="VUL5" s="7"/>
      <c r="VUS5" s="7"/>
      <c r="VUZ5" s="7"/>
      <c r="VVG5" s="7"/>
      <c r="VVN5" s="7"/>
      <c r="VVU5" s="7"/>
      <c r="VWB5" s="7"/>
      <c r="VWI5" s="7"/>
      <c r="VWP5" s="7"/>
      <c r="VWW5" s="7"/>
      <c r="VXD5" s="7"/>
      <c r="VXK5" s="7"/>
      <c r="VXR5" s="7"/>
      <c r="VXY5" s="7"/>
      <c r="VYF5" s="7"/>
      <c r="VYM5" s="7"/>
      <c r="VYT5" s="7"/>
      <c r="VZA5" s="7"/>
      <c r="VZH5" s="7"/>
      <c r="VZO5" s="7"/>
      <c r="VZV5" s="7"/>
      <c r="WAC5" s="7"/>
      <c r="WAJ5" s="7"/>
      <c r="WAQ5" s="7"/>
      <c r="WAX5" s="7"/>
      <c r="WBE5" s="7"/>
      <c r="WBL5" s="7"/>
      <c r="WBS5" s="7"/>
      <c r="WBZ5" s="7"/>
      <c r="WCG5" s="7"/>
      <c r="WCN5" s="7"/>
      <c r="WCU5" s="7"/>
      <c r="WDB5" s="7"/>
      <c r="WDI5" s="7"/>
      <c r="WDP5" s="7"/>
      <c r="WDW5" s="7"/>
      <c r="WED5" s="7"/>
      <c r="WEK5" s="7"/>
      <c r="WER5" s="7"/>
      <c r="WEY5" s="7"/>
      <c r="WFF5" s="7"/>
      <c r="WFM5" s="7"/>
      <c r="WFT5" s="7"/>
      <c r="WGA5" s="7"/>
      <c r="WGH5" s="7"/>
      <c r="WGO5" s="7"/>
      <c r="WGV5" s="7"/>
      <c r="WHC5" s="7"/>
      <c r="WHJ5" s="7"/>
      <c r="WHQ5" s="7"/>
      <c r="WHX5" s="7"/>
      <c r="WIE5" s="7"/>
      <c r="WIL5" s="7"/>
      <c r="WIS5" s="7"/>
      <c r="WIZ5" s="7"/>
      <c r="WJG5" s="7"/>
      <c r="WJN5" s="7"/>
      <c r="WJU5" s="7"/>
      <c r="WKB5" s="7"/>
      <c r="WKI5" s="7"/>
      <c r="WKP5" s="7"/>
      <c r="WKW5" s="7"/>
      <c r="WLD5" s="7"/>
      <c r="WLK5" s="7"/>
      <c r="WLR5" s="7"/>
      <c r="WLY5" s="7"/>
      <c r="WMF5" s="7"/>
      <c r="WMM5" s="7"/>
      <c r="WMT5" s="7"/>
      <c r="WNA5" s="7"/>
      <c r="WNH5" s="7"/>
      <c r="WNO5" s="7"/>
      <c r="WNV5" s="7"/>
      <c r="WOC5" s="7"/>
      <c r="WOJ5" s="7"/>
      <c r="WOQ5" s="7"/>
      <c r="WOX5" s="7"/>
      <c r="WPE5" s="7"/>
      <c r="WPL5" s="7"/>
      <c r="WPS5" s="7"/>
      <c r="WPZ5" s="7"/>
      <c r="WQG5" s="7"/>
      <c r="WQN5" s="7"/>
      <c r="WQU5" s="7"/>
      <c r="WRB5" s="7"/>
      <c r="WRI5" s="7"/>
      <c r="WRP5" s="7"/>
      <c r="WRW5" s="7"/>
      <c r="WSD5" s="7"/>
      <c r="WSK5" s="7"/>
      <c r="WSR5" s="7"/>
      <c r="WSY5" s="7"/>
      <c r="WTF5" s="7"/>
      <c r="WTM5" s="7"/>
      <c r="WTT5" s="7"/>
      <c r="WUA5" s="7"/>
      <c r="WUH5" s="7"/>
      <c r="WUO5" s="7"/>
      <c r="WUV5" s="7"/>
      <c r="WVC5" s="7"/>
      <c r="WVJ5" s="7"/>
      <c r="WVQ5" s="7"/>
      <c r="WVX5" s="7"/>
      <c r="WWE5" s="7"/>
      <c r="WWL5" s="7"/>
      <c r="WWS5" s="7"/>
      <c r="WWZ5" s="7"/>
      <c r="WXG5" s="7"/>
      <c r="WXN5" s="7"/>
      <c r="WXU5" s="7"/>
      <c r="WYB5" s="7"/>
      <c r="WYI5" s="7"/>
      <c r="WYP5" s="7"/>
      <c r="WYW5" s="7"/>
      <c r="WZD5" s="7"/>
      <c r="WZK5" s="7"/>
      <c r="WZR5" s="7"/>
      <c r="WZY5" s="7"/>
      <c r="XAF5" s="7"/>
      <c r="XAM5" s="7"/>
      <c r="XAT5" s="7"/>
      <c r="XBA5" s="7"/>
      <c r="XBH5" s="7"/>
      <c r="XBO5" s="7"/>
      <c r="XBV5" s="7"/>
      <c r="XCC5" s="7"/>
      <c r="XCJ5" s="7"/>
      <c r="XCQ5" s="7"/>
      <c r="XCX5" s="7"/>
      <c r="XDE5" s="7"/>
      <c r="XDL5" s="7"/>
      <c r="XDS5" s="7"/>
      <c r="XDZ5" s="7"/>
      <c r="XEG5" s="7"/>
      <c r="XEN5" s="7"/>
      <c r="XEU5" s="7"/>
      <c r="XFB5" s="7"/>
    </row>
    <row r="6" spans="1:1024 1031:2046 2053:3068 3075:4090 4097:5119 5126:6141 6148:7163 7170:8192 8199:9214 9221:10236 10243:11258 11265:12287 12294:13309 13316:14331 14338:15360 15367:16382" ht="15.6" x14ac:dyDescent="0.55000000000000004">
      <c r="A6" s="5" t="s">
        <v>12</v>
      </c>
      <c r="B6" s="20">
        <v>22.9</v>
      </c>
      <c r="C6" s="20">
        <v>24.88</v>
      </c>
      <c r="D6" s="20">
        <v>12.25</v>
      </c>
      <c r="E6" s="20">
        <v>36.85</v>
      </c>
      <c r="F6" s="20">
        <v>68.59</v>
      </c>
      <c r="G6" s="20">
        <v>71.69</v>
      </c>
    </row>
    <row r="7" spans="1:1024 1031:2046 2053:3068 3075:4090 4097:5119 5126:6141 6148:7163 7170:8192 8199:9214 9221:10236 10243:11258 11265:12287 12294:13309 13316:14331 14338:15360 15367:16382" s="8" customFormat="1" ht="15.6" x14ac:dyDescent="0.55000000000000004">
      <c r="A7" s="7" t="s">
        <v>13</v>
      </c>
      <c r="B7" s="25">
        <v>5.9299999999999999E-2</v>
      </c>
      <c r="C7" s="25">
        <v>5.2999999999999999E-2</v>
      </c>
      <c r="D7" s="25">
        <v>2.3800000000000002E-2</v>
      </c>
      <c r="E7" s="25">
        <v>6.4100000000000004E-2</v>
      </c>
      <c r="F7" s="25">
        <v>0.1075</v>
      </c>
      <c r="G7" s="25">
        <v>0.11020000000000001</v>
      </c>
      <c r="H7"/>
      <c r="I7" s="7"/>
      <c r="P7" s="7"/>
      <c r="W7" s="7"/>
      <c r="AD7" s="7"/>
      <c r="AK7" s="7"/>
      <c r="AR7" s="7"/>
      <c r="AY7" s="7"/>
      <c r="BF7" s="7"/>
      <c r="BM7" s="7"/>
      <c r="BT7" s="7"/>
      <c r="CA7" s="7"/>
      <c r="CH7" s="7"/>
      <c r="CO7" s="7"/>
      <c r="CV7" s="7"/>
      <c r="DC7" s="7"/>
      <c r="DJ7" s="7"/>
      <c r="DQ7" s="7"/>
      <c r="DX7" s="7"/>
      <c r="EE7" s="7"/>
      <c r="EL7" s="7"/>
      <c r="ES7" s="7"/>
      <c r="EZ7" s="7"/>
      <c r="FG7" s="7"/>
      <c r="FN7" s="7"/>
      <c r="FU7" s="7"/>
      <c r="GB7" s="7"/>
      <c r="GI7" s="7"/>
      <c r="GP7" s="7"/>
      <c r="GW7" s="7"/>
      <c r="HD7" s="7"/>
      <c r="HK7" s="7"/>
      <c r="HR7" s="7"/>
      <c r="HY7" s="7"/>
      <c r="IF7" s="7"/>
      <c r="IM7" s="7"/>
      <c r="IT7" s="7"/>
      <c r="JA7" s="7"/>
      <c r="JH7" s="7"/>
      <c r="JO7" s="7"/>
      <c r="JV7" s="7"/>
      <c r="KC7" s="7"/>
      <c r="KJ7" s="7"/>
      <c r="KQ7" s="7"/>
      <c r="KX7" s="7"/>
      <c r="LE7" s="7"/>
      <c r="LL7" s="7"/>
      <c r="LS7" s="7"/>
      <c r="LZ7" s="7"/>
      <c r="MG7" s="7"/>
      <c r="MN7" s="7"/>
      <c r="MU7" s="7"/>
      <c r="NB7" s="7"/>
      <c r="NI7" s="7"/>
      <c r="NP7" s="7"/>
      <c r="NW7" s="7"/>
      <c r="OD7" s="7"/>
      <c r="OK7" s="7"/>
      <c r="OR7" s="7"/>
      <c r="OY7" s="7"/>
      <c r="PF7" s="7"/>
      <c r="PM7" s="7"/>
      <c r="PT7" s="7"/>
      <c r="QA7" s="7"/>
      <c r="QH7" s="7"/>
      <c r="QO7" s="7"/>
      <c r="QV7" s="7"/>
      <c r="RC7" s="7"/>
      <c r="RJ7" s="7"/>
      <c r="RQ7" s="7"/>
      <c r="RX7" s="7"/>
      <c r="SE7" s="7"/>
      <c r="SL7" s="7"/>
      <c r="SS7" s="7"/>
      <c r="SZ7" s="7"/>
      <c r="TG7" s="7"/>
      <c r="TN7" s="7"/>
      <c r="TU7" s="7"/>
      <c r="UB7" s="7"/>
      <c r="UI7" s="7"/>
      <c r="UP7" s="7"/>
      <c r="UW7" s="7"/>
      <c r="VD7" s="7"/>
      <c r="VK7" s="7"/>
      <c r="VR7" s="7"/>
      <c r="VY7" s="7"/>
      <c r="WF7" s="7"/>
      <c r="WM7" s="7"/>
      <c r="WT7" s="7"/>
      <c r="XA7" s="7"/>
      <c r="XH7" s="7"/>
      <c r="XO7" s="7"/>
      <c r="XV7" s="7"/>
      <c r="YC7" s="7"/>
      <c r="YJ7" s="7"/>
      <c r="YQ7" s="7"/>
      <c r="YX7" s="7"/>
      <c r="ZE7" s="7"/>
      <c r="ZL7" s="7"/>
      <c r="ZS7" s="7"/>
      <c r="ZZ7" s="7"/>
      <c r="AAG7" s="7"/>
      <c r="AAN7" s="7"/>
      <c r="AAU7" s="7"/>
      <c r="ABB7" s="7"/>
      <c r="ABI7" s="7"/>
      <c r="ABP7" s="7"/>
      <c r="ABW7" s="7"/>
      <c r="ACD7" s="7"/>
      <c r="ACK7" s="7"/>
      <c r="ACR7" s="7"/>
      <c r="ACY7" s="7"/>
      <c r="ADF7" s="7"/>
      <c r="ADM7" s="7"/>
      <c r="ADT7" s="7"/>
      <c r="AEA7" s="7"/>
      <c r="AEH7" s="7"/>
      <c r="AEO7" s="7"/>
      <c r="AEV7" s="7"/>
      <c r="AFC7" s="7"/>
      <c r="AFJ7" s="7"/>
      <c r="AFQ7" s="7"/>
      <c r="AFX7" s="7"/>
      <c r="AGE7" s="7"/>
      <c r="AGL7" s="7"/>
      <c r="AGS7" s="7"/>
      <c r="AGZ7" s="7"/>
      <c r="AHG7" s="7"/>
      <c r="AHN7" s="7"/>
      <c r="AHU7" s="7"/>
      <c r="AIB7" s="7"/>
      <c r="AII7" s="7"/>
      <c r="AIP7" s="7"/>
      <c r="AIW7" s="7"/>
      <c r="AJD7" s="7"/>
      <c r="AJK7" s="7"/>
      <c r="AJR7" s="7"/>
      <c r="AJY7" s="7"/>
      <c r="AKF7" s="7"/>
      <c r="AKM7" s="7"/>
      <c r="AKT7" s="7"/>
      <c r="ALA7" s="7"/>
      <c r="ALH7" s="7"/>
      <c r="ALO7" s="7"/>
      <c r="ALV7" s="7"/>
      <c r="AMC7" s="7"/>
      <c r="AMJ7" s="7"/>
      <c r="AMQ7" s="7"/>
      <c r="AMX7" s="7"/>
      <c r="ANE7" s="7"/>
      <c r="ANL7" s="7"/>
      <c r="ANS7" s="7"/>
      <c r="ANZ7" s="7"/>
      <c r="AOG7" s="7"/>
      <c r="AON7" s="7"/>
      <c r="AOU7" s="7"/>
      <c r="APB7" s="7"/>
      <c r="API7" s="7"/>
      <c r="APP7" s="7"/>
      <c r="APW7" s="7"/>
      <c r="AQD7" s="7"/>
      <c r="AQK7" s="7"/>
      <c r="AQR7" s="7"/>
      <c r="AQY7" s="7"/>
      <c r="ARF7" s="7"/>
      <c r="ARM7" s="7"/>
      <c r="ART7" s="7"/>
      <c r="ASA7" s="7"/>
      <c r="ASH7" s="7"/>
      <c r="ASO7" s="7"/>
      <c r="ASV7" s="7"/>
      <c r="ATC7" s="7"/>
      <c r="ATJ7" s="7"/>
      <c r="ATQ7" s="7"/>
      <c r="ATX7" s="7"/>
      <c r="AUE7" s="7"/>
      <c r="AUL7" s="7"/>
      <c r="AUS7" s="7"/>
      <c r="AUZ7" s="7"/>
      <c r="AVG7" s="7"/>
      <c r="AVN7" s="7"/>
      <c r="AVU7" s="7"/>
      <c r="AWB7" s="7"/>
      <c r="AWI7" s="7"/>
      <c r="AWP7" s="7"/>
      <c r="AWW7" s="7"/>
      <c r="AXD7" s="7"/>
      <c r="AXK7" s="7"/>
      <c r="AXR7" s="7"/>
      <c r="AXY7" s="7"/>
      <c r="AYF7" s="7"/>
      <c r="AYM7" s="7"/>
      <c r="AYT7" s="7"/>
      <c r="AZA7" s="7"/>
      <c r="AZH7" s="7"/>
      <c r="AZO7" s="7"/>
      <c r="AZV7" s="7"/>
      <c r="BAC7" s="7"/>
      <c r="BAJ7" s="7"/>
      <c r="BAQ7" s="7"/>
      <c r="BAX7" s="7"/>
      <c r="BBE7" s="7"/>
      <c r="BBL7" s="7"/>
      <c r="BBS7" s="7"/>
      <c r="BBZ7" s="7"/>
      <c r="BCG7" s="7"/>
      <c r="BCN7" s="7"/>
      <c r="BCU7" s="7"/>
      <c r="BDB7" s="7"/>
      <c r="BDI7" s="7"/>
      <c r="BDP7" s="7"/>
      <c r="BDW7" s="7"/>
      <c r="BED7" s="7"/>
      <c r="BEK7" s="7"/>
      <c r="BER7" s="7"/>
      <c r="BEY7" s="7"/>
      <c r="BFF7" s="7"/>
      <c r="BFM7" s="7"/>
      <c r="BFT7" s="7"/>
      <c r="BGA7" s="7"/>
      <c r="BGH7" s="7"/>
      <c r="BGO7" s="7"/>
      <c r="BGV7" s="7"/>
      <c r="BHC7" s="7"/>
      <c r="BHJ7" s="7"/>
      <c r="BHQ7" s="7"/>
      <c r="BHX7" s="7"/>
      <c r="BIE7" s="7"/>
      <c r="BIL7" s="7"/>
      <c r="BIS7" s="7"/>
      <c r="BIZ7" s="7"/>
      <c r="BJG7" s="7"/>
      <c r="BJN7" s="7"/>
      <c r="BJU7" s="7"/>
      <c r="BKB7" s="7"/>
      <c r="BKI7" s="7"/>
      <c r="BKP7" s="7"/>
      <c r="BKW7" s="7"/>
      <c r="BLD7" s="7"/>
      <c r="BLK7" s="7"/>
      <c r="BLR7" s="7"/>
      <c r="BLY7" s="7"/>
      <c r="BMF7" s="7"/>
      <c r="BMM7" s="7"/>
      <c r="BMT7" s="7"/>
      <c r="BNA7" s="7"/>
      <c r="BNH7" s="7"/>
      <c r="BNO7" s="7"/>
      <c r="BNV7" s="7"/>
      <c r="BOC7" s="7"/>
      <c r="BOJ7" s="7"/>
      <c r="BOQ7" s="7"/>
      <c r="BOX7" s="7"/>
      <c r="BPE7" s="7"/>
      <c r="BPL7" s="7"/>
      <c r="BPS7" s="7"/>
      <c r="BPZ7" s="7"/>
      <c r="BQG7" s="7"/>
      <c r="BQN7" s="7"/>
      <c r="BQU7" s="7"/>
      <c r="BRB7" s="7"/>
      <c r="BRI7" s="7"/>
      <c r="BRP7" s="7"/>
      <c r="BRW7" s="7"/>
      <c r="BSD7" s="7"/>
      <c r="BSK7" s="7"/>
      <c r="BSR7" s="7"/>
      <c r="BSY7" s="7"/>
      <c r="BTF7" s="7"/>
      <c r="BTM7" s="7"/>
      <c r="BTT7" s="7"/>
      <c r="BUA7" s="7"/>
      <c r="BUH7" s="7"/>
      <c r="BUO7" s="7"/>
      <c r="BUV7" s="7"/>
      <c r="BVC7" s="7"/>
      <c r="BVJ7" s="7"/>
      <c r="BVQ7" s="7"/>
      <c r="BVX7" s="7"/>
      <c r="BWE7" s="7"/>
      <c r="BWL7" s="7"/>
      <c r="BWS7" s="7"/>
      <c r="BWZ7" s="7"/>
      <c r="BXG7" s="7"/>
      <c r="BXN7" s="7"/>
      <c r="BXU7" s="7"/>
      <c r="BYB7" s="7"/>
      <c r="BYI7" s="7"/>
      <c r="BYP7" s="7"/>
      <c r="BYW7" s="7"/>
      <c r="BZD7" s="7"/>
      <c r="BZK7" s="7"/>
      <c r="BZR7" s="7"/>
      <c r="BZY7" s="7"/>
      <c r="CAF7" s="7"/>
      <c r="CAM7" s="7"/>
      <c r="CAT7" s="7"/>
      <c r="CBA7" s="7"/>
      <c r="CBH7" s="7"/>
      <c r="CBO7" s="7"/>
      <c r="CBV7" s="7"/>
      <c r="CCC7" s="7"/>
      <c r="CCJ7" s="7"/>
      <c r="CCQ7" s="7"/>
      <c r="CCX7" s="7"/>
      <c r="CDE7" s="7"/>
      <c r="CDL7" s="7"/>
      <c r="CDS7" s="7"/>
      <c r="CDZ7" s="7"/>
      <c r="CEG7" s="7"/>
      <c r="CEN7" s="7"/>
      <c r="CEU7" s="7"/>
      <c r="CFB7" s="7"/>
      <c r="CFI7" s="7"/>
      <c r="CFP7" s="7"/>
      <c r="CFW7" s="7"/>
      <c r="CGD7" s="7"/>
      <c r="CGK7" s="7"/>
      <c r="CGR7" s="7"/>
      <c r="CGY7" s="7"/>
      <c r="CHF7" s="7"/>
      <c r="CHM7" s="7"/>
      <c r="CHT7" s="7"/>
      <c r="CIA7" s="7"/>
      <c r="CIH7" s="7"/>
      <c r="CIO7" s="7"/>
      <c r="CIV7" s="7"/>
      <c r="CJC7" s="7"/>
      <c r="CJJ7" s="7"/>
      <c r="CJQ7" s="7"/>
      <c r="CJX7" s="7"/>
      <c r="CKE7" s="7"/>
      <c r="CKL7" s="7"/>
      <c r="CKS7" s="7"/>
      <c r="CKZ7" s="7"/>
      <c r="CLG7" s="7"/>
      <c r="CLN7" s="7"/>
      <c r="CLU7" s="7"/>
      <c r="CMB7" s="7"/>
      <c r="CMI7" s="7"/>
      <c r="CMP7" s="7"/>
      <c r="CMW7" s="7"/>
      <c r="CND7" s="7"/>
      <c r="CNK7" s="7"/>
      <c r="CNR7" s="7"/>
      <c r="CNY7" s="7"/>
      <c r="COF7" s="7"/>
      <c r="COM7" s="7"/>
      <c r="COT7" s="7"/>
      <c r="CPA7" s="7"/>
      <c r="CPH7" s="7"/>
      <c r="CPO7" s="7"/>
      <c r="CPV7" s="7"/>
      <c r="CQC7" s="7"/>
      <c r="CQJ7" s="7"/>
      <c r="CQQ7" s="7"/>
      <c r="CQX7" s="7"/>
      <c r="CRE7" s="7"/>
      <c r="CRL7" s="7"/>
      <c r="CRS7" s="7"/>
      <c r="CRZ7" s="7"/>
      <c r="CSG7" s="7"/>
      <c r="CSN7" s="7"/>
      <c r="CSU7" s="7"/>
      <c r="CTB7" s="7"/>
      <c r="CTI7" s="7"/>
      <c r="CTP7" s="7"/>
      <c r="CTW7" s="7"/>
      <c r="CUD7" s="7"/>
      <c r="CUK7" s="7"/>
      <c r="CUR7" s="7"/>
      <c r="CUY7" s="7"/>
      <c r="CVF7" s="7"/>
      <c r="CVM7" s="7"/>
      <c r="CVT7" s="7"/>
      <c r="CWA7" s="7"/>
      <c r="CWH7" s="7"/>
      <c r="CWO7" s="7"/>
      <c r="CWV7" s="7"/>
      <c r="CXC7" s="7"/>
      <c r="CXJ7" s="7"/>
      <c r="CXQ7" s="7"/>
      <c r="CXX7" s="7"/>
      <c r="CYE7" s="7"/>
      <c r="CYL7" s="7"/>
      <c r="CYS7" s="7"/>
      <c r="CYZ7" s="7"/>
      <c r="CZG7" s="7"/>
      <c r="CZN7" s="7"/>
      <c r="CZU7" s="7"/>
      <c r="DAB7" s="7"/>
      <c r="DAI7" s="7"/>
      <c r="DAP7" s="7"/>
      <c r="DAW7" s="7"/>
      <c r="DBD7" s="7"/>
      <c r="DBK7" s="7"/>
      <c r="DBR7" s="7"/>
      <c r="DBY7" s="7"/>
      <c r="DCF7" s="7"/>
      <c r="DCM7" s="7"/>
      <c r="DCT7" s="7"/>
      <c r="DDA7" s="7"/>
      <c r="DDH7" s="7"/>
      <c r="DDO7" s="7"/>
      <c r="DDV7" s="7"/>
      <c r="DEC7" s="7"/>
      <c r="DEJ7" s="7"/>
      <c r="DEQ7" s="7"/>
      <c r="DEX7" s="7"/>
      <c r="DFE7" s="7"/>
      <c r="DFL7" s="7"/>
      <c r="DFS7" s="7"/>
      <c r="DFZ7" s="7"/>
      <c r="DGG7" s="7"/>
      <c r="DGN7" s="7"/>
      <c r="DGU7" s="7"/>
      <c r="DHB7" s="7"/>
      <c r="DHI7" s="7"/>
      <c r="DHP7" s="7"/>
      <c r="DHW7" s="7"/>
      <c r="DID7" s="7"/>
      <c r="DIK7" s="7"/>
      <c r="DIR7" s="7"/>
      <c r="DIY7" s="7"/>
      <c r="DJF7" s="7"/>
      <c r="DJM7" s="7"/>
      <c r="DJT7" s="7"/>
      <c r="DKA7" s="7"/>
      <c r="DKH7" s="7"/>
      <c r="DKO7" s="7"/>
      <c r="DKV7" s="7"/>
      <c r="DLC7" s="7"/>
      <c r="DLJ7" s="7"/>
      <c r="DLQ7" s="7"/>
      <c r="DLX7" s="7"/>
      <c r="DME7" s="7"/>
      <c r="DML7" s="7"/>
      <c r="DMS7" s="7"/>
      <c r="DMZ7" s="7"/>
      <c r="DNG7" s="7"/>
      <c r="DNN7" s="7"/>
      <c r="DNU7" s="7"/>
      <c r="DOB7" s="7"/>
      <c r="DOI7" s="7"/>
      <c r="DOP7" s="7"/>
      <c r="DOW7" s="7"/>
      <c r="DPD7" s="7"/>
      <c r="DPK7" s="7"/>
      <c r="DPR7" s="7"/>
      <c r="DPY7" s="7"/>
      <c r="DQF7" s="7"/>
      <c r="DQM7" s="7"/>
      <c r="DQT7" s="7"/>
      <c r="DRA7" s="7"/>
      <c r="DRH7" s="7"/>
      <c r="DRO7" s="7"/>
      <c r="DRV7" s="7"/>
      <c r="DSC7" s="7"/>
      <c r="DSJ7" s="7"/>
      <c r="DSQ7" s="7"/>
      <c r="DSX7" s="7"/>
      <c r="DTE7" s="7"/>
      <c r="DTL7" s="7"/>
      <c r="DTS7" s="7"/>
      <c r="DTZ7" s="7"/>
      <c r="DUG7" s="7"/>
      <c r="DUN7" s="7"/>
      <c r="DUU7" s="7"/>
      <c r="DVB7" s="7"/>
      <c r="DVI7" s="7"/>
      <c r="DVP7" s="7"/>
      <c r="DVW7" s="7"/>
      <c r="DWD7" s="7"/>
      <c r="DWK7" s="7"/>
      <c r="DWR7" s="7"/>
      <c r="DWY7" s="7"/>
      <c r="DXF7" s="7"/>
      <c r="DXM7" s="7"/>
      <c r="DXT7" s="7"/>
      <c r="DYA7" s="7"/>
      <c r="DYH7" s="7"/>
      <c r="DYO7" s="7"/>
      <c r="DYV7" s="7"/>
      <c r="DZC7" s="7"/>
      <c r="DZJ7" s="7"/>
      <c r="DZQ7" s="7"/>
      <c r="DZX7" s="7"/>
      <c r="EAE7" s="7"/>
      <c r="EAL7" s="7"/>
      <c r="EAS7" s="7"/>
      <c r="EAZ7" s="7"/>
      <c r="EBG7" s="7"/>
      <c r="EBN7" s="7"/>
      <c r="EBU7" s="7"/>
      <c r="ECB7" s="7"/>
      <c r="ECI7" s="7"/>
      <c r="ECP7" s="7"/>
      <c r="ECW7" s="7"/>
      <c r="EDD7" s="7"/>
      <c r="EDK7" s="7"/>
      <c r="EDR7" s="7"/>
      <c r="EDY7" s="7"/>
      <c r="EEF7" s="7"/>
      <c r="EEM7" s="7"/>
      <c r="EET7" s="7"/>
      <c r="EFA7" s="7"/>
      <c r="EFH7" s="7"/>
      <c r="EFO7" s="7"/>
      <c r="EFV7" s="7"/>
      <c r="EGC7" s="7"/>
      <c r="EGJ7" s="7"/>
      <c r="EGQ7" s="7"/>
      <c r="EGX7" s="7"/>
      <c r="EHE7" s="7"/>
      <c r="EHL7" s="7"/>
      <c r="EHS7" s="7"/>
      <c r="EHZ7" s="7"/>
      <c r="EIG7" s="7"/>
      <c r="EIN7" s="7"/>
      <c r="EIU7" s="7"/>
      <c r="EJB7" s="7"/>
      <c r="EJI7" s="7"/>
      <c r="EJP7" s="7"/>
      <c r="EJW7" s="7"/>
      <c r="EKD7" s="7"/>
      <c r="EKK7" s="7"/>
      <c r="EKR7" s="7"/>
      <c r="EKY7" s="7"/>
      <c r="ELF7" s="7"/>
      <c r="ELM7" s="7"/>
      <c r="ELT7" s="7"/>
      <c r="EMA7" s="7"/>
      <c r="EMH7" s="7"/>
      <c r="EMO7" s="7"/>
      <c r="EMV7" s="7"/>
      <c r="ENC7" s="7"/>
      <c r="ENJ7" s="7"/>
      <c r="ENQ7" s="7"/>
      <c r="ENX7" s="7"/>
      <c r="EOE7" s="7"/>
      <c r="EOL7" s="7"/>
      <c r="EOS7" s="7"/>
      <c r="EOZ7" s="7"/>
      <c r="EPG7" s="7"/>
      <c r="EPN7" s="7"/>
      <c r="EPU7" s="7"/>
      <c r="EQB7" s="7"/>
      <c r="EQI7" s="7"/>
      <c r="EQP7" s="7"/>
      <c r="EQW7" s="7"/>
      <c r="ERD7" s="7"/>
      <c r="ERK7" s="7"/>
      <c r="ERR7" s="7"/>
      <c r="ERY7" s="7"/>
      <c r="ESF7" s="7"/>
      <c r="ESM7" s="7"/>
      <c r="EST7" s="7"/>
      <c r="ETA7" s="7"/>
      <c r="ETH7" s="7"/>
      <c r="ETO7" s="7"/>
      <c r="ETV7" s="7"/>
      <c r="EUC7" s="7"/>
      <c r="EUJ7" s="7"/>
      <c r="EUQ7" s="7"/>
      <c r="EUX7" s="7"/>
      <c r="EVE7" s="7"/>
      <c r="EVL7" s="7"/>
      <c r="EVS7" s="7"/>
      <c r="EVZ7" s="7"/>
      <c r="EWG7" s="7"/>
      <c r="EWN7" s="7"/>
      <c r="EWU7" s="7"/>
      <c r="EXB7" s="7"/>
      <c r="EXI7" s="7"/>
      <c r="EXP7" s="7"/>
      <c r="EXW7" s="7"/>
      <c r="EYD7" s="7"/>
      <c r="EYK7" s="7"/>
      <c r="EYR7" s="7"/>
      <c r="EYY7" s="7"/>
      <c r="EZF7" s="7"/>
      <c r="EZM7" s="7"/>
      <c r="EZT7" s="7"/>
      <c r="FAA7" s="7"/>
      <c r="FAH7" s="7"/>
      <c r="FAO7" s="7"/>
      <c r="FAV7" s="7"/>
      <c r="FBC7" s="7"/>
      <c r="FBJ7" s="7"/>
      <c r="FBQ7" s="7"/>
      <c r="FBX7" s="7"/>
      <c r="FCE7" s="7"/>
      <c r="FCL7" s="7"/>
      <c r="FCS7" s="7"/>
      <c r="FCZ7" s="7"/>
      <c r="FDG7" s="7"/>
      <c r="FDN7" s="7"/>
      <c r="FDU7" s="7"/>
      <c r="FEB7" s="7"/>
      <c r="FEI7" s="7"/>
      <c r="FEP7" s="7"/>
      <c r="FEW7" s="7"/>
      <c r="FFD7" s="7"/>
      <c r="FFK7" s="7"/>
      <c r="FFR7" s="7"/>
      <c r="FFY7" s="7"/>
      <c r="FGF7" s="7"/>
      <c r="FGM7" s="7"/>
      <c r="FGT7" s="7"/>
      <c r="FHA7" s="7"/>
      <c r="FHH7" s="7"/>
      <c r="FHO7" s="7"/>
      <c r="FHV7" s="7"/>
      <c r="FIC7" s="7"/>
      <c r="FIJ7" s="7"/>
      <c r="FIQ7" s="7"/>
      <c r="FIX7" s="7"/>
      <c r="FJE7" s="7"/>
      <c r="FJL7" s="7"/>
      <c r="FJS7" s="7"/>
      <c r="FJZ7" s="7"/>
      <c r="FKG7" s="7"/>
      <c r="FKN7" s="7"/>
      <c r="FKU7" s="7"/>
      <c r="FLB7" s="7"/>
      <c r="FLI7" s="7"/>
      <c r="FLP7" s="7"/>
      <c r="FLW7" s="7"/>
      <c r="FMD7" s="7"/>
      <c r="FMK7" s="7"/>
      <c r="FMR7" s="7"/>
      <c r="FMY7" s="7"/>
      <c r="FNF7" s="7"/>
      <c r="FNM7" s="7"/>
      <c r="FNT7" s="7"/>
      <c r="FOA7" s="7"/>
      <c r="FOH7" s="7"/>
      <c r="FOO7" s="7"/>
      <c r="FOV7" s="7"/>
      <c r="FPC7" s="7"/>
      <c r="FPJ7" s="7"/>
      <c r="FPQ7" s="7"/>
      <c r="FPX7" s="7"/>
      <c r="FQE7" s="7"/>
      <c r="FQL7" s="7"/>
      <c r="FQS7" s="7"/>
      <c r="FQZ7" s="7"/>
      <c r="FRG7" s="7"/>
      <c r="FRN7" s="7"/>
      <c r="FRU7" s="7"/>
      <c r="FSB7" s="7"/>
      <c r="FSI7" s="7"/>
      <c r="FSP7" s="7"/>
      <c r="FSW7" s="7"/>
      <c r="FTD7" s="7"/>
      <c r="FTK7" s="7"/>
      <c r="FTR7" s="7"/>
      <c r="FTY7" s="7"/>
      <c r="FUF7" s="7"/>
      <c r="FUM7" s="7"/>
      <c r="FUT7" s="7"/>
      <c r="FVA7" s="7"/>
      <c r="FVH7" s="7"/>
      <c r="FVO7" s="7"/>
      <c r="FVV7" s="7"/>
      <c r="FWC7" s="7"/>
      <c r="FWJ7" s="7"/>
      <c r="FWQ7" s="7"/>
      <c r="FWX7" s="7"/>
      <c r="FXE7" s="7"/>
      <c r="FXL7" s="7"/>
      <c r="FXS7" s="7"/>
      <c r="FXZ7" s="7"/>
      <c r="FYG7" s="7"/>
      <c r="FYN7" s="7"/>
      <c r="FYU7" s="7"/>
      <c r="FZB7" s="7"/>
      <c r="FZI7" s="7"/>
      <c r="FZP7" s="7"/>
      <c r="FZW7" s="7"/>
      <c r="GAD7" s="7"/>
      <c r="GAK7" s="7"/>
      <c r="GAR7" s="7"/>
      <c r="GAY7" s="7"/>
      <c r="GBF7" s="7"/>
      <c r="GBM7" s="7"/>
      <c r="GBT7" s="7"/>
      <c r="GCA7" s="7"/>
      <c r="GCH7" s="7"/>
      <c r="GCO7" s="7"/>
      <c r="GCV7" s="7"/>
      <c r="GDC7" s="7"/>
      <c r="GDJ7" s="7"/>
      <c r="GDQ7" s="7"/>
      <c r="GDX7" s="7"/>
      <c r="GEE7" s="7"/>
      <c r="GEL7" s="7"/>
      <c r="GES7" s="7"/>
      <c r="GEZ7" s="7"/>
      <c r="GFG7" s="7"/>
      <c r="GFN7" s="7"/>
      <c r="GFU7" s="7"/>
      <c r="GGB7" s="7"/>
      <c r="GGI7" s="7"/>
      <c r="GGP7" s="7"/>
      <c r="GGW7" s="7"/>
      <c r="GHD7" s="7"/>
      <c r="GHK7" s="7"/>
      <c r="GHR7" s="7"/>
      <c r="GHY7" s="7"/>
      <c r="GIF7" s="7"/>
      <c r="GIM7" s="7"/>
      <c r="GIT7" s="7"/>
      <c r="GJA7" s="7"/>
      <c r="GJH7" s="7"/>
      <c r="GJO7" s="7"/>
      <c r="GJV7" s="7"/>
      <c r="GKC7" s="7"/>
      <c r="GKJ7" s="7"/>
      <c r="GKQ7" s="7"/>
      <c r="GKX7" s="7"/>
      <c r="GLE7" s="7"/>
      <c r="GLL7" s="7"/>
      <c r="GLS7" s="7"/>
      <c r="GLZ7" s="7"/>
      <c r="GMG7" s="7"/>
      <c r="GMN7" s="7"/>
      <c r="GMU7" s="7"/>
      <c r="GNB7" s="7"/>
      <c r="GNI7" s="7"/>
      <c r="GNP7" s="7"/>
      <c r="GNW7" s="7"/>
      <c r="GOD7" s="7"/>
      <c r="GOK7" s="7"/>
      <c r="GOR7" s="7"/>
      <c r="GOY7" s="7"/>
      <c r="GPF7" s="7"/>
      <c r="GPM7" s="7"/>
      <c r="GPT7" s="7"/>
      <c r="GQA7" s="7"/>
      <c r="GQH7" s="7"/>
      <c r="GQO7" s="7"/>
      <c r="GQV7" s="7"/>
      <c r="GRC7" s="7"/>
      <c r="GRJ7" s="7"/>
      <c r="GRQ7" s="7"/>
      <c r="GRX7" s="7"/>
      <c r="GSE7" s="7"/>
      <c r="GSL7" s="7"/>
      <c r="GSS7" s="7"/>
      <c r="GSZ7" s="7"/>
      <c r="GTG7" s="7"/>
      <c r="GTN7" s="7"/>
      <c r="GTU7" s="7"/>
      <c r="GUB7" s="7"/>
      <c r="GUI7" s="7"/>
      <c r="GUP7" s="7"/>
      <c r="GUW7" s="7"/>
      <c r="GVD7" s="7"/>
      <c r="GVK7" s="7"/>
      <c r="GVR7" s="7"/>
      <c r="GVY7" s="7"/>
      <c r="GWF7" s="7"/>
      <c r="GWM7" s="7"/>
      <c r="GWT7" s="7"/>
      <c r="GXA7" s="7"/>
      <c r="GXH7" s="7"/>
      <c r="GXO7" s="7"/>
      <c r="GXV7" s="7"/>
      <c r="GYC7" s="7"/>
      <c r="GYJ7" s="7"/>
      <c r="GYQ7" s="7"/>
      <c r="GYX7" s="7"/>
      <c r="GZE7" s="7"/>
      <c r="GZL7" s="7"/>
      <c r="GZS7" s="7"/>
      <c r="GZZ7" s="7"/>
      <c r="HAG7" s="7"/>
      <c r="HAN7" s="7"/>
      <c r="HAU7" s="7"/>
      <c r="HBB7" s="7"/>
      <c r="HBI7" s="7"/>
      <c r="HBP7" s="7"/>
      <c r="HBW7" s="7"/>
      <c r="HCD7" s="7"/>
      <c r="HCK7" s="7"/>
      <c r="HCR7" s="7"/>
      <c r="HCY7" s="7"/>
      <c r="HDF7" s="7"/>
      <c r="HDM7" s="7"/>
      <c r="HDT7" s="7"/>
      <c r="HEA7" s="7"/>
      <c r="HEH7" s="7"/>
      <c r="HEO7" s="7"/>
      <c r="HEV7" s="7"/>
      <c r="HFC7" s="7"/>
      <c r="HFJ7" s="7"/>
      <c r="HFQ7" s="7"/>
      <c r="HFX7" s="7"/>
      <c r="HGE7" s="7"/>
      <c r="HGL7" s="7"/>
      <c r="HGS7" s="7"/>
      <c r="HGZ7" s="7"/>
      <c r="HHG7" s="7"/>
      <c r="HHN7" s="7"/>
      <c r="HHU7" s="7"/>
      <c r="HIB7" s="7"/>
      <c r="HII7" s="7"/>
      <c r="HIP7" s="7"/>
      <c r="HIW7" s="7"/>
      <c r="HJD7" s="7"/>
      <c r="HJK7" s="7"/>
      <c r="HJR7" s="7"/>
      <c r="HJY7" s="7"/>
      <c r="HKF7" s="7"/>
      <c r="HKM7" s="7"/>
      <c r="HKT7" s="7"/>
      <c r="HLA7" s="7"/>
      <c r="HLH7" s="7"/>
      <c r="HLO7" s="7"/>
      <c r="HLV7" s="7"/>
      <c r="HMC7" s="7"/>
      <c r="HMJ7" s="7"/>
      <c r="HMQ7" s="7"/>
      <c r="HMX7" s="7"/>
      <c r="HNE7" s="7"/>
      <c r="HNL7" s="7"/>
      <c r="HNS7" s="7"/>
      <c r="HNZ7" s="7"/>
      <c r="HOG7" s="7"/>
      <c r="HON7" s="7"/>
      <c r="HOU7" s="7"/>
      <c r="HPB7" s="7"/>
      <c r="HPI7" s="7"/>
      <c r="HPP7" s="7"/>
      <c r="HPW7" s="7"/>
      <c r="HQD7" s="7"/>
      <c r="HQK7" s="7"/>
      <c r="HQR7" s="7"/>
      <c r="HQY7" s="7"/>
      <c r="HRF7" s="7"/>
      <c r="HRM7" s="7"/>
      <c r="HRT7" s="7"/>
      <c r="HSA7" s="7"/>
      <c r="HSH7" s="7"/>
      <c r="HSO7" s="7"/>
      <c r="HSV7" s="7"/>
      <c r="HTC7" s="7"/>
      <c r="HTJ7" s="7"/>
      <c r="HTQ7" s="7"/>
      <c r="HTX7" s="7"/>
      <c r="HUE7" s="7"/>
      <c r="HUL7" s="7"/>
      <c r="HUS7" s="7"/>
      <c r="HUZ7" s="7"/>
      <c r="HVG7" s="7"/>
      <c r="HVN7" s="7"/>
      <c r="HVU7" s="7"/>
      <c r="HWB7" s="7"/>
      <c r="HWI7" s="7"/>
      <c r="HWP7" s="7"/>
      <c r="HWW7" s="7"/>
      <c r="HXD7" s="7"/>
      <c r="HXK7" s="7"/>
      <c r="HXR7" s="7"/>
      <c r="HXY7" s="7"/>
      <c r="HYF7" s="7"/>
      <c r="HYM7" s="7"/>
      <c r="HYT7" s="7"/>
      <c r="HZA7" s="7"/>
      <c r="HZH7" s="7"/>
      <c r="HZO7" s="7"/>
      <c r="HZV7" s="7"/>
      <c r="IAC7" s="7"/>
      <c r="IAJ7" s="7"/>
      <c r="IAQ7" s="7"/>
      <c r="IAX7" s="7"/>
      <c r="IBE7" s="7"/>
      <c r="IBL7" s="7"/>
      <c r="IBS7" s="7"/>
      <c r="IBZ7" s="7"/>
      <c r="ICG7" s="7"/>
      <c r="ICN7" s="7"/>
      <c r="ICU7" s="7"/>
      <c r="IDB7" s="7"/>
      <c r="IDI7" s="7"/>
      <c r="IDP7" s="7"/>
      <c r="IDW7" s="7"/>
      <c r="IED7" s="7"/>
      <c r="IEK7" s="7"/>
      <c r="IER7" s="7"/>
      <c r="IEY7" s="7"/>
      <c r="IFF7" s="7"/>
      <c r="IFM7" s="7"/>
      <c r="IFT7" s="7"/>
      <c r="IGA7" s="7"/>
      <c r="IGH7" s="7"/>
      <c r="IGO7" s="7"/>
      <c r="IGV7" s="7"/>
      <c r="IHC7" s="7"/>
      <c r="IHJ7" s="7"/>
      <c r="IHQ7" s="7"/>
      <c r="IHX7" s="7"/>
      <c r="IIE7" s="7"/>
      <c r="IIL7" s="7"/>
      <c r="IIS7" s="7"/>
      <c r="IIZ7" s="7"/>
      <c r="IJG7" s="7"/>
      <c r="IJN7" s="7"/>
      <c r="IJU7" s="7"/>
      <c r="IKB7" s="7"/>
      <c r="IKI7" s="7"/>
      <c r="IKP7" s="7"/>
      <c r="IKW7" s="7"/>
      <c r="ILD7" s="7"/>
      <c r="ILK7" s="7"/>
      <c r="ILR7" s="7"/>
      <c r="ILY7" s="7"/>
      <c r="IMF7" s="7"/>
      <c r="IMM7" s="7"/>
      <c r="IMT7" s="7"/>
      <c r="INA7" s="7"/>
      <c r="INH7" s="7"/>
      <c r="INO7" s="7"/>
      <c r="INV7" s="7"/>
      <c r="IOC7" s="7"/>
      <c r="IOJ7" s="7"/>
      <c r="IOQ7" s="7"/>
      <c r="IOX7" s="7"/>
      <c r="IPE7" s="7"/>
      <c r="IPL7" s="7"/>
      <c r="IPS7" s="7"/>
      <c r="IPZ7" s="7"/>
      <c r="IQG7" s="7"/>
      <c r="IQN7" s="7"/>
      <c r="IQU7" s="7"/>
      <c r="IRB7" s="7"/>
      <c r="IRI7" s="7"/>
      <c r="IRP7" s="7"/>
      <c r="IRW7" s="7"/>
      <c r="ISD7" s="7"/>
      <c r="ISK7" s="7"/>
      <c r="ISR7" s="7"/>
      <c r="ISY7" s="7"/>
      <c r="ITF7" s="7"/>
      <c r="ITM7" s="7"/>
      <c r="ITT7" s="7"/>
      <c r="IUA7" s="7"/>
      <c r="IUH7" s="7"/>
      <c r="IUO7" s="7"/>
      <c r="IUV7" s="7"/>
      <c r="IVC7" s="7"/>
      <c r="IVJ7" s="7"/>
      <c r="IVQ7" s="7"/>
      <c r="IVX7" s="7"/>
      <c r="IWE7" s="7"/>
      <c r="IWL7" s="7"/>
      <c r="IWS7" s="7"/>
      <c r="IWZ7" s="7"/>
      <c r="IXG7" s="7"/>
      <c r="IXN7" s="7"/>
      <c r="IXU7" s="7"/>
      <c r="IYB7" s="7"/>
      <c r="IYI7" s="7"/>
      <c r="IYP7" s="7"/>
      <c r="IYW7" s="7"/>
      <c r="IZD7" s="7"/>
      <c r="IZK7" s="7"/>
      <c r="IZR7" s="7"/>
      <c r="IZY7" s="7"/>
      <c r="JAF7" s="7"/>
      <c r="JAM7" s="7"/>
      <c r="JAT7" s="7"/>
      <c r="JBA7" s="7"/>
      <c r="JBH7" s="7"/>
      <c r="JBO7" s="7"/>
      <c r="JBV7" s="7"/>
      <c r="JCC7" s="7"/>
      <c r="JCJ7" s="7"/>
      <c r="JCQ7" s="7"/>
      <c r="JCX7" s="7"/>
      <c r="JDE7" s="7"/>
      <c r="JDL7" s="7"/>
      <c r="JDS7" s="7"/>
      <c r="JDZ7" s="7"/>
      <c r="JEG7" s="7"/>
      <c r="JEN7" s="7"/>
      <c r="JEU7" s="7"/>
      <c r="JFB7" s="7"/>
      <c r="JFI7" s="7"/>
      <c r="JFP7" s="7"/>
      <c r="JFW7" s="7"/>
      <c r="JGD7" s="7"/>
      <c r="JGK7" s="7"/>
      <c r="JGR7" s="7"/>
      <c r="JGY7" s="7"/>
      <c r="JHF7" s="7"/>
      <c r="JHM7" s="7"/>
      <c r="JHT7" s="7"/>
      <c r="JIA7" s="7"/>
      <c r="JIH7" s="7"/>
      <c r="JIO7" s="7"/>
      <c r="JIV7" s="7"/>
      <c r="JJC7" s="7"/>
      <c r="JJJ7" s="7"/>
      <c r="JJQ7" s="7"/>
      <c r="JJX7" s="7"/>
      <c r="JKE7" s="7"/>
      <c r="JKL7" s="7"/>
      <c r="JKS7" s="7"/>
      <c r="JKZ7" s="7"/>
      <c r="JLG7" s="7"/>
      <c r="JLN7" s="7"/>
      <c r="JLU7" s="7"/>
      <c r="JMB7" s="7"/>
      <c r="JMI7" s="7"/>
      <c r="JMP7" s="7"/>
      <c r="JMW7" s="7"/>
      <c r="JND7" s="7"/>
      <c r="JNK7" s="7"/>
      <c r="JNR7" s="7"/>
      <c r="JNY7" s="7"/>
      <c r="JOF7" s="7"/>
      <c r="JOM7" s="7"/>
      <c r="JOT7" s="7"/>
      <c r="JPA7" s="7"/>
      <c r="JPH7" s="7"/>
      <c r="JPO7" s="7"/>
      <c r="JPV7" s="7"/>
      <c r="JQC7" s="7"/>
      <c r="JQJ7" s="7"/>
      <c r="JQQ7" s="7"/>
      <c r="JQX7" s="7"/>
      <c r="JRE7" s="7"/>
      <c r="JRL7" s="7"/>
      <c r="JRS7" s="7"/>
      <c r="JRZ7" s="7"/>
      <c r="JSG7" s="7"/>
      <c r="JSN7" s="7"/>
      <c r="JSU7" s="7"/>
      <c r="JTB7" s="7"/>
      <c r="JTI7" s="7"/>
      <c r="JTP7" s="7"/>
      <c r="JTW7" s="7"/>
      <c r="JUD7" s="7"/>
      <c r="JUK7" s="7"/>
      <c r="JUR7" s="7"/>
      <c r="JUY7" s="7"/>
      <c r="JVF7" s="7"/>
      <c r="JVM7" s="7"/>
      <c r="JVT7" s="7"/>
      <c r="JWA7" s="7"/>
      <c r="JWH7" s="7"/>
      <c r="JWO7" s="7"/>
      <c r="JWV7" s="7"/>
      <c r="JXC7" s="7"/>
      <c r="JXJ7" s="7"/>
      <c r="JXQ7" s="7"/>
      <c r="JXX7" s="7"/>
      <c r="JYE7" s="7"/>
      <c r="JYL7" s="7"/>
      <c r="JYS7" s="7"/>
      <c r="JYZ7" s="7"/>
      <c r="JZG7" s="7"/>
      <c r="JZN7" s="7"/>
      <c r="JZU7" s="7"/>
      <c r="KAB7" s="7"/>
      <c r="KAI7" s="7"/>
      <c r="KAP7" s="7"/>
      <c r="KAW7" s="7"/>
      <c r="KBD7" s="7"/>
      <c r="KBK7" s="7"/>
      <c r="KBR7" s="7"/>
      <c r="KBY7" s="7"/>
      <c r="KCF7" s="7"/>
      <c r="KCM7" s="7"/>
      <c r="KCT7" s="7"/>
      <c r="KDA7" s="7"/>
      <c r="KDH7" s="7"/>
      <c r="KDO7" s="7"/>
      <c r="KDV7" s="7"/>
      <c r="KEC7" s="7"/>
      <c r="KEJ7" s="7"/>
      <c r="KEQ7" s="7"/>
      <c r="KEX7" s="7"/>
      <c r="KFE7" s="7"/>
      <c r="KFL7" s="7"/>
      <c r="KFS7" s="7"/>
      <c r="KFZ7" s="7"/>
      <c r="KGG7" s="7"/>
      <c r="KGN7" s="7"/>
      <c r="KGU7" s="7"/>
      <c r="KHB7" s="7"/>
      <c r="KHI7" s="7"/>
      <c r="KHP7" s="7"/>
      <c r="KHW7" s="7"/>
      <c r="KID7" s="7"/>
      <c r="KIK7" s="7"/>
      <c r="KIR7" s="7"/>
      <c r="KIY7" s="7"/>
      <c r="KJF7" s="7"/>
      <c r="KJM7" s="7"/>
      <c r="KJT7" s="7"/>
      <c r="KKA7" s="7"/>
      <c r="KKH7" s="7"/>
      <c r="KKO7" s="7"/>
      <c r="KKV7" s="7"/>
      <c r="KLC7" s="7"/>
      <c r="KLJ7" s="7"/>
      <c r="KLQ7" s="7"/>
      <c r="KLX7" s="7"/>
      <c r="KME7" s="7"/>
      <c r="KML7" s="7"/>
      <c r="KMS7" s="7"/>
      <c r="KMZ7" s="7"/>
      <c r="KNG7" s="7"/>
      <c r="KNN7" s="7"/>
      <c r="KNU7" s="7"/>
      <c r="KOB7" s="7"/>
      <c r="KOI7" s="7"/>
      <c r="KOP7" s="7"/>
      <c r="KOW7" s="7"/>
      <c r="KPD7" s="7"/>
      <c r="KPK7" s="7"/>
      <c r="KPR7" s="7"/>
      <c r="KPY7" s="7"/>
      <c r="KQF7" s="7"/>
      <c r="KQM7" s="7"/>
      <c r="KQT7" s="7"/>
      <c r="KRA7" s="7"/>
      <c r="KRH7" s="7"/>
      <c r="KRO7" s="7"/>
      <c r="KRV7" s="7"/>
      <c r="KSC7" s="7"/>
      <c r="KSJ7" s="7"/>
      <c r="KSQ7" s="7"/>
      <c r="KSX7" s="7"/>
      <c r="KTE7" s="7"/>
      <c r="KTL7" s="7"/>
      <c r="KTS7" s="7"/>
      <c r="KTZ7" s="7"/>
      <c r="KUG7" s="7"/>
      <c r="KUN7" s="7"/>
      <c r="KUU7" s="7"/>
      <c r="KVB7" s="7"/>
      <c r="KVI7" s="7"/>
      <c r="KVP7" s="7"/>
      <c r="KVW7" s="7"/>
      <c r="KWD7" s="7"/>
      <c r="KWK7" s="7"/>
      <c r="KWR7" s="7"/>
      <c r="KWY7" s="7"/>
      <c r="KXF7" s="7"/>
      <c r="KXM7" s="7"/>
      <c r="KXT7" s="7"/>
      <c r="KYA7" s="7"/>
      <c r="KYH7" s="7"/>
      <c r="KYO7" s="7"/>
      <c r="KYV7" s="7"/>
      <c r="KZC7" s="7"/>
      <c r="KZJ7" s="7"/>
      <c r="KZQ7" s="7"/>
      <c r="KZX7" s="7"/>
      <c r="LAE7" s="7"/>
      <c r="LAL7" s="7"/>
      <c r="LAS7" s="7"/>
      <c r="LAZ7" s="7"/>
      <c r="LBG7" s="7"/>
      <c r="LBN7" s="7"/>
      <c r="LBU7" s="7"/>
      <c r="LCB7" s="7"/>
      <c r="LCI7" s="7"/>
      <c r="LCP7" s="7"/>
      <c r="LCW7" s="7"/>
      <c r="LDD7" s="7"/>
      <c r="LDK7" s="7"/>
      <c r="LDR7" s="7"/>
      <c r="LDY7" s="7"/>
      <c r="LEF7" s="7"/>
      <c r="LEM7" s="7"/>
      <c r="LET7" s="7"/>
      <c r="LFA7" s="7"/>
      <c r="LFH7" s="7"/>
      <c r="LFO7" s="7"/>
      <c r="LFV7" s="7"/>
      <c r="LGC7" s="7"/>
      <c r="LGJ7" s="7"/>
      <c r="LGQ7" s="7"/>
      <c r="LGX7" s="7"/>
      <c r="LHE7" s="7"/>
      <c r="LHL7" s="7"/>
      <c r="LHS7" s="7"/>
      <c r="LHZ7" s="7"/>
      <c r="LIG7" s="7"/>
      <c r="LIN7" s="7"/>
      <c r="LIU7" s="7"/>
      <c r="LJB7" s="7"/>
      <c r="LJI7" s="7"/>
      <c r="LJP7" s="7"/>
      <c r="LJW7" s="7"/>
      <c r="LKD7" s="7"/>
      <c r="LKK7" s="7"/>
      <c r="LKR7" s="7"/>
      <c r="LKY7" s="7"/>
      <c r="LLF7" s="7"/>
      <c r="LLM7" s="7"/>
      <c r="LLT7" s="7"/>
      <c r="LMA7" s="7"/>
      <c r="LMH7" s="7"/>
      <c r="LMO7" s="7"/>
      <c r="LMV7" s="7"/>
      <c r="LNC7" s="7"/>
      <c r="LNJ7" s="7"/>
      <c r="LNQ7" s="7"/>
      <c r="LNX7" s="7"/>
      <c r="LOE7" s="7"/>
      <c r="LOL7" s="7"/>
      <c r="LOS7" s="7"/>
      <c r="LOZ7" s="7"/>
      <c r="LPG7" s="7"/>
      <c r="LPN7" s="7"/>
      <c r="LPU7" s="7"/>
      <c r="LQB7" s="7"/>
      <c r="LQI7" s="7"/>
      <c r="LQP7" s="7"/>
      <c r="LQW7" s="7"/>
      <c r="LRD7" s="7"/>
      <c r="LRK7" s="7"/>
      <c r="LRR7" s="7"/>
      <c r="LRY7" s="7"/>
      <c r="LSF7" s="7"/>
      <c r="LSM7" s="7"/>
      <c r="LST7" s="7"/>
      <c r="LTA7" s="7"/>
      <c r="LTH7" s="7"/>
      <c r="LTO7" s="7"/>
      <c r="LTV7" s="7"/>
      <c r="LUC7" s="7"/>
      <c r="LUJ7" s="7"/>
      <c r="LUQ7" s="7"/>
      <c r="LUX7" s="7"/>
      <c r="LVE7" s="7"/>
      <c r="LVL7" s="7"/>
      <c r="LVS7" s="7"/>
      <c r="LVZ7" s="7"/>
      <c r="LWG7" s="7"/>
      <c r="LWN7" s="7"/>
      <c r="LWU7" s="7"/>
      <c r="LXB7" s="7"/>
      <c r="LXI7" s="7"/>
      <c r="LXP7" s="7"/>
      <c r="LXW7" s="7"/>
      <c r="LYD7" s="7"/>
      <c r="LYK7" s="7"/>
      <c r="LYR7" s="7"/>
      <c r="LYY7" s="7"/>
      <c r="LZF7" s="7"/>
      <c r="LZM7" s="7"/>
      <c r="LZT7" s="7"/>
      <c r="MAA7" s="7"/>
      <c r="MAH7" s="7"/>
      <c r="MAO7" s="7"/>
      <c r="MAV7" s="7"/>
      <c r="MBC7" s="7"/>
      <c r="MBJ7" s="7"/>
      <c r="MBQ7" s="7"/>
      <c r="MBX7" s="7"/>
      <c r="MCE7" s="7"/>
      <c r="MCL7" s="7"/>
      <c r="MCS7" s="7"/>
      <c r="MCZ7" s="7"/>
      <c r="MDG7" s="7"/>
      <c r="MDN7" s="7"/>
      <c r="MDU7" s="7"/>
      <c r="MEB7" s="7"/>
      <c r="MEI7" s="7"/>
      <c r="MEP7" s="7"/>
      <c r="MEW7" s="7"/>
      <c r="MFD7" s="7"/>
      <c r="MFK7" s="7"/>
      <c r="MFR7" s="7"/>
      <c r="MFY7" s="7"/>
      <c r="MGF7" s="7"/>
      <c r="MGM7" s="7"/>
      <c r="MGT7" s="7"/>
      <c r="MHA7" s="7"/>
      <c r="MHH7" s="7"/>
      <c r="MHO7" s="7"/>
      <c r="MHV7" s="7"/>
      <c r="MIC7" s="7"/>
      <c r="MIJ7" s="7"/>
      <c r="MIQ7" s="7"/>
      <c r="MIX7" s="7"/>
      <c r="MJE7" s="7"/>
      <c r="MJL7" s="7"/>
      <c r="MJS7" s="7"/>
      <c r="MJZ7" s="7"/>
      <c r="MKG7" s="7"/>
      <c r="MKN7" s="7"/>
      <c r="MKU7" s="7"/>
      <c r="MLB7" s="7"/>
      <c r="MLI7" s="7"/>
      <c r="MLP7" s="7"/>
      <c r="MLW7" s="7"/>
      <c r="MMD7" s="7"/>
      <c r="MMK7" s="7"/>
      <c r="MMR7" s="7"/>
      <c r="MMY7" s="7"/>
      <c r="MNF7" s="7"/>
      <c r="MNM7" s="7"/>
      <c r="MNT7" s="7"/>
      <c r="MOA7" s="7"/>
      <c r="MOH7" s="7"/>
      <c r="MOO7" s="7"/>
      <c r="MOV7" s="7"/>
      <c r="MPC7" s="7"/>
      <c r="MPJ7" s="7"/>
      <c r="MPQ7" s="7"/>
      <c r="MPX7" s="7"/>
      <c r="MQE7" s="7"/>
      <c r="MQL7" s="7"/>
      <c r="MQS7" s="7"/>
      <c r="MQZ7" s="7"/>
      <c r="MRG7" s="7"/>
      <c r="MRN7" s="7"/>
      <c r="MRU7" s="7"/>
      <c r="MSB7" s="7"/>
      <c r="MSI7" s="7"/>
      <c r="MSP7" s="7"/>
      <c r="MSW7" s="7"/>
      <c r="MTD7" s="7"/>
      <c r="MTK7" s="7"/>
      <c r="MTR7" s="7"/>
      <c r="MTY7" s="7"/>
      <c r="MUF7" s="7"/>
      <c r="MUM7" s="7"/>
      <c r="MUT7" s="7"/>
      <c r="MVA7" s="7"/>
      <c r="MVH7" s="7"/>
      <c r="MVO7" s="7"/>
      <c r="MVV7" s="7"/>
      <c r="MWC7" s="7"/>
      <c r="MWJ7" s="7"/>
      <c r="MWQ7" s="7"/>
      <c r="MWX7" s="7"/>
      <c r="MXE7" s="7"/>
      <c r="MXL7" s="7"/>
      <c r="MXS7" s="7"/>
      <c r="MXZ7" s="7"/>
      <c r="MYG7" s="7"/>
      <c r="MYN7" s="7"/>
      <c r="MYU7" s="7"/>
      <c r="MZB7" s="7"/>
      <c r="MZI7" s="7"/>
      <c r="MZP7" s="7"/>
      <c r="MZW7" s="7"/>
      <c r="NAD7" s="7"/>
      <c r="NAK7" s="7"/>
      <c r="NAR7" s="7"/>
      <c r="NAY7" s="7"/>
      <c r="NBF7" s="7"/>
      <c r="NBM7" s="7"/>
      <c r="NBT7" s="7"/>
      <c r="NCA7" s="7"/>
      <c r="NCH7" s="7"/>
      <c r="NCO7" s="7"/>
      <c r="NCV7" s="7"/>
      <c r="NDC7" s="7"/>
      <c r="NDJ7" s="7"/>
      <c r="NDQ7" s="7"/>
      <c r="NDX7" s="7"/>
      <c r="NEE7" s="7"/>
      <c r="NEL7" s="7"/>
      <c r="NES7" s="7"/>
      <c r="NEZ7" s="7"/>
      <c r="NFG7" s="7"/>
      <c r="NFN7" s="7"/>
      <c r="NFU7" s="7"/>
      <c r="NGB7" s="7"/>
      <c r="NGI7" s="7"/>
      <c r="NGP7" s="7"/>
      <c r="NGW7" s="7"/>
      <c r="NHD7" s="7"/>
      <c r="NHK7" s="7"/>
      <c r="NHR7" s="7"/>
      <c r="NHY7" s="7"/>
      <c r="NIF7" s="7"/>
      <c r="NIM7" s="7"/>
      <c r="NIT7" s="7"/>
      <c r="NJA7" s="7"/>
      <c r="NJH7" s="7"/>
      <c r="NJO7" s="7"/>
      <c r="NJV7" s="7"/>
      <c r="NKC7" s="7"/>
      <c r="NKJ7" s="7"/>
      <c r="NKQ7" s="7"/>
      <c r="NKX7" s="7"/>
      <c r="NLE7" s="7"/>
      <c r="NLL7" s="7"/>
      <c r="NLS7" s="7"/>
      <c r="NLZ7" s="7"/>
      <c r="NMG7" s="7"/>
      <c r="NMN7" s="7"/>
      <c r="NMU7" s="7"/>
      <c r="NNB7" s="7"/>
      <c r="NNI7" s="7"/>
      <c r="NNP7" s="7"/>
      <c r="NNW7" s="7"/>
      <c r="NOD7" s="7"/>
      <c r="NOK7" s="7"/>
      <c r="NOR7" s="7"/>
      <c r="NOY7" s="7"/>
      <c r="NPF7" s="7"/>
      <c r="NPM7" s="7"/>
      <c r="NPT7" s="7"/>
      <c r="NQA7" s="7"/>
      <c r="NQH7" s="7"/>
      <c r="NQO7" s="7"/>
      <c r="NQV7" s="7"/>
      <c r="NRC7" s="7"/>
      <c r="NRJ7" s="7"/>
      <c r="NRQ7" s="7"/>
      <c r="NRX7" s="7"/>
      <c r="NSE7" s="7"/>
      <c r="NSL7" s="7"/>
      <c r="NSS7" s="7"/>
      <c r="NSZ7" s="7"/>
      <c r="NTG7" s="7"/>
      <c r="NTN7" s="7"/>
      <c r="NTU7" s="7"/>
      <c r="NUB7" s="7"/>
      <c r="NUI7" s="7"/>
      <c r="NUP7" s="7"/>
      <c r="NUW7" s="7"/>
      <c r="NVD7" s="7"/>
      <c r="NVK7" s="7"/>
      <c r="NVR7" s="7"/>
      <c r="NVY7" s="7"/>
      <c r="NWF7" s="7"/>
      <c r="NWM7" s="7"/>
      <c r="NWT7" s="7"/>
      <c r="NXA7" s="7"/>
      <c r="NXH7" s="7"/>
      <c r="NXO7" s="7"/>
      <c r="NXV7" s="7"/>
      <c r="NYC7" s="7"/>
      <c r="NYJ7" s="7"/>
      <c r="NYQ7" s="7"/>
      <c r="NYX7" s="7"/>
      <c r="NZE7" s="7"/>
      <c r="NZL7" s="7"/>
      <c r="NZS7" s="7"/>
      <c r="NZZ7" s="7"/>
      <c r="OAG7" s="7"/>
      <c r="OAN7" s="7"/>
      <c r="OAU7" s="7"/>
      <c r="OBB7" s="7"/>
      <c r="OBI7" s="7"/>
      <c r="OBP7" s="7"/>
      <c r="OBW7" s="7"/>
      <c r="OCD7" s="7"/>
      <c r="OCK7" s="7"/>
      <c r="OCR7" s="7"/>
      <c r="OCY7" s="7"/>
      <c r="ODF7" s="7"/>
      <c r="ODM7" s="7"/>
      <c r="ODT7" s="7"/>
      <c r="OEA7" s="7"/>
      <c r="OEH7" s="7"/>
      <c r="OEO7" s="7"/>
      <c r="OEV7" s="7"/>
      <c r="OFC7" s="7"/>
      <c r="OFJ7" s="7"/>
      <c r="OFQ7" s="7"/>
      <c r="OFX7" s="7"/>
      <c r="OGE7" s="7"/>
      <c r="OGL7" s="7"/>
      <c r="OGS7" s="7"/>
      <c r="OGZ7" s="7"/>
      <c r="OHG7" s="7"/>
      <c r="OHN7" s="7"/>
      <c r="OHU7" s="7"/>
      <c r="OIB7" s="7"/>
      <c r="OII7" s="7"/>
      <c r="OIP7" s="7"/>
      <c r="OIW7" s="7"/>
      <c r="OJD7" s="7"/>
      <c r="OJK7" s="7"/>
      <c r="OJR7" s="7"/>
      <c r="OJY7" s="7"/>
      <c r="OKF7" s="7"/>
      <c r="OKM7" s="7"/>
      <c r="OKT7" s="7"/>
      <c r="OLA7" s="7"/>
      <c r="OLH7" s="7"/>
      <c r="OLO7" s="7"/>
      <c r="OLV7" s="7"/>
      <c r="OMC7" s="7"/>
      <c r="OMJ7" s="7"/>
      <c r="OMQ7" s="7"/>
      <c r="OMX7" s="7"/>
      <c r="ONE7" s="7"/>
      <c r="ONL7" s="7"/>
      <c r="ONS7" s="7"/>
      <c r="ONZ7" s="7"/>
      <c r="OOG7" s="7"/>
      <c r="OON7" s="7"/>
      <c r="OOU7" s="7"/>
      <c r="OPB7" s="7"/>
      <c r="OPI7" s="7"/>
      <c r="OPP7" s="7"/>
      <c r="OPW7" s="7"/>
      <c r="OQD7" s="7"/>
      <c r="OQK7" s="7"/>
      <c r="OQR7" s="7"/>
      <c r="OQY7" s="7"/>
      <c r="ORF7" s="7"/>
      <c r="ORM7" s="7"/>
      <c r="ORT7" s="7"/>
      <c r="OSA7" s="7"/>
      <c r="OSH7" s="7"/>
      <c r="OSO7" s="7"/>
      <c r="OSV7" s="7"/>
      <c r="OTC7" s="7"/>
      <c r="OTJ7" s="7"/>
      <c r="OTQ7" s="7"/>
      <c r="OTX7" s="7"/>
      <c r="OUE7" s="7"/>
      <c r="OUL7" s="7"/>
      <c r="OUS7" s="7"/>
      <c r="OUZ7" s="7"/>
      <c r="OVG7" s="7"/>
      <c r="OVN7" s="7"/>
      <c r="OVU7" s="7"/>
      <c r="OWB7" s="7"/>
      <c r="OWI7" s="7"/>
      <c r="OWP7" s="7"/>
      <c r="OWW7" s="7"/>
      <c r="OXD7" s="7"/>
      <c r="OXK7" s="7"/>
      <c r="OXR7" s="7"/>
      <c r="OXY7" s="7"/>
      <c r="OYF7" s="7"/>
      <c r="OYM7" s="7"/>
      <c r="OYT7" s="7"/>
      <c r="OZA7" s="7"/>
      <c r="OZH7" s="7"/>
      <c r="OZO7" s="7"/>
      <c r="OZV7" s="7"/>
      <c r="PAC7" s="7"/>
      <c r="PAJ7" s="7"/>
      <c r="PAQ7" s="7"/>
      <c r="PAX7" s="7"/>
      <c r="PBE7" s="7"/>
      <c r="PBL7" s="7"/>
      <c r="PBS7" s="7"/>
      <c r="PBZ7" s="7"/>
      <c r="PCG7" s="7"/>
      <c r="PCN7" s="7"/>
      <c r="PCU7" s="7"/>
      <c r="PDB7" s="7"/>
      <c r="PDI7" s="7"/>
      <c r="PDP7" s="7"/>
      <c r="PDW7" s="7"/>
      <c r="PED7" s="7"/>
      <c r="PEK7" s="7"/>
      <c r="PER7" s="7"/>
      <c r="PEY7" s="7"/>
      <c r="PFF7" s="7"/>
      <c r="PFM7" s="7"/>
      <c r="PFT7" s="7"/>
      <c r="PGA7" s="7"/>
      <c r="PGH7" s="7"/>
      <c r="PGO7" s="7"/>
      <c r="PGV7" s="7"/>
      <c r="PHC7" s="7"/>
      <c r="PHJ7" s="7"/>
      <c r="PHQ7" s="7"/>
      <c r="PHX7" s="7"/>
      <c r="PIE7" s="7"/>
      <c r="PIL7" s="7"/>
      <c r="PIS7" s="7"/>
      <c r="PIZ7" s="7"/>
      <c r="PJG7" s="7"/>
      <c r="PJN7" s="7"/>
      <c r="PJU7" s="7"/>
      <c r="PKB7" s="7"/>
      <c r="PKI7" s="7"/>
      <c r="PKP7" s="7"/>
      <c r="PKW7" s="7"/>
      <c r="PLD7" s="7"/>
      <c r="PLK7" s="7"/>
      <c r="PLR7" s="7"/>
      <c r="PLY7" s="7"/>
      <c r="PMF7" s="7"/>
      <c r="PMM7" s="7"/>
      <c r="PMT7" s="7"/>
      <c r="PNA7" s="7"/>
      <c r="PNH7" s="7"/>
      <c r="PNO7" s="7"/>
      <c r="PNV7" s="7"/>
      <c r="POC7" s="7"/>
      <c r="POJ7" s="7"/>
      <c r="POQ7" s="7"/>
      <c r="POX7" s="7"/>
      <c r="PPE7" s="7"/>
      <c r="PPL7" s="7"/>
      <c r="PPS7" s="7"/>
      <c r="PPZ7" s="7"/>
      <c r="PQG7" s="7"/>
      <c r="PQN7" s="7"/>
      <c r="PQU7" s="7"/>
      <c r="PRB7" s="7"/>
      <c r="PRI7" s="7"/>
      <c r="PRP7" s="7"/>
      <c r="PRW7" s="7"/>
      <c r="PSD7" s="7"/>
      <c r="PSK7" s="7"/>
      <c r="PSR7" s="7"/>
      <c r="PSY7" s="7"/>
      <c r="PTF7" s="7"/>
      <c r="PTM7" s="7"/>
      <c r="PTT7" s="7"/>
      <c r="PUA7" s="7"/>
      <c r="PUH7" s="7"/>
      <c r="PUO7" s="7"/>
      <c r="PUV7" s="7"/>
      <c r="PVC7" s="7"/>
      <c r="PVJ7" s="7"/>
      <c r="PVQ7" s="7"/>
      <c r="PVX7" s="7"/>
      <c r="PWE7" s="7"/>
      <c r="PWL7" s="7"/>
      <c r="PWS7" s="7"/>
      <c r="PWZ7" s="7"/>
      <c r="PXG7" s="7"/>
      <c r="PXN7" s="7"/>
      <c r="PXU7" s="7"/>
      <c r="PYB7" s="7"/>
      <c r="PYI7" s="7"/>
      <c r="PYP7" s="7"/>
      <c r="PYW7" s="7"/>
      <c r="PZD7" s="7"/>
      <c r="PZK7" s="7"/>
      <c r="PZR7" s="7"/>
      <c r="PZY7" s="7"/>
      <c r="QAF7" s="7"/>
      <c r="QAM7" s="7"/>
      <c r="QAT7" s="7"/>
      <c r="QBA7" s="7"/>
      <c r="QBH7" s="7"/>
      <c r="QBO7" s="7"/>
      <c r="QBV7" s="7"/>
      <c r="QCC7" s="7"/>
      <c r="QCJ7" s="7"/>
      <c r="QCQ7" s="7"/>
      <c r="QCX7" s="7"/>
      <c r="QDE7" s="7"/>
      <c r="QDL7" s="7"/>
      <c r="QDS7" s="7"/>
      <c r="QDZ7" s="7"/>
      <c r="QEG7" s="7"/>
      <c r="QEN7" s="7"/>
      <c r="QEU7" s="7"/>
      <c r="QFB7" s="7"/>
      <c r="QFI7" s="7"/>
      <c r="QFP7" s="7"/>
      <c r="QFW7" s="7"/>
      <c r="QGD7" s="7"/>
      <c r="QGK7" s="7"/>
      <c r="QGR7" s="7"/>
      <c r="QGY7" s="7"/>
      <c r="QHF7" s="7"/>
      <c r="QHM7" s="7"/>
      <c r="QHT7" s="7"/>
      <c r="QIA7" s="7"/>
      <c r="QIH7" s="7"/>
      <c r="QIO7" s="7"/>
      <c r="QIV7" s="7"/>
      <c r="QJC7" s="7"/>
      <c r="QJJ7" s="7"/>
      <c r="QJQ7" s="7"/>
      <c r="QJX7" s="7"/>
      <c r="QKE7" s="7"/>
      <c r="QKL7" s="7"/>
      <c r="QKS7" s="7"/>
      <c r="QKZ7" s="7"/>
      <c r="QLG7" s="7"/>
      <c r="QLN7" s="7"/>
      <c r="QLU7" s="7"/>
      <c r="QMB7" s="7"/>
      <c r="QMI7" s="7"/>
      <c r="QMP7" s="7"/>
      <c r="QMW7" s="7"/>
      <c r="QND7" s="7"/>
      <c r="QNK7" s="7"/>
      <c r="QNR7" s="7"/>
      <c r="QNY7" s="7"/>
      <c r="QOF7" s="7"/>
      <c r="QOM7" s="7"/>
      <c r="QOT7" s="7"/>
      <c r="QPA7" s="7"/>
      <c r="QPH7" s="7"/>
      <c r="QPO7" s="7"/>
      <c r="QPV7" s="7"/>
      <c r="QQC7" s="7"/>
      <c r="QQJ7" s="7"/>
      <c r="QQQ7" s="7"/>
      <c r="QQX7" s="7"/>
      <c r="QRE7" s="7"/>
      <c r="QRL7" s="7"/>
      <c r="QRS7" s="7"/>
      <c r="QRZ7" s="7"/>
      <c r="QSG7" s="7"/>
      <c r="QSN7" s="7"/>
      <c r="QSU7" s="7"/>
      <c r="QTB7" s="7"/>
      <c r="QTI7" s="7"/>
      <c r="QTP7" s="7"/>
      <c r="QTW7" s="7"/>
      <c r="QUD7" s="7"/>
      <c r="QUK7" s="7"/>
      <c r="QUR7" s="7"/>
      <c r="QUY7" s="7"/>
      <c r="QVF7" s="7"/>
      <c r="QVM7" s="7"/>
      <c r="QVT7" s="7"/>
      <c r="QWA7" s="7"/>
      <c r="QWH7" s="7"/>
      <c r="QWO7" s="7"/>
      <c r="QWV7" s="7"/>
      <c r="QXC7" s="7"/>
      <c r="QXJ7" s="7"/>
      <c r="QXQ7" s="7"/>
      <c r="QXX7" s="7"/>
      <c r="QYE7" s="7"/>
      <c r="QYL7" s="7"/>
      <c r="QYS7" s="7"/>
      <c r="QYZ7" s="7"/>
      <c r="QZG7" s="7"/>
      <c r="QZN7" s="7"/>
      <c r="QZU7" s="7"/>
      <c r="RAB7" s="7"/>
      <c r="RAI7" s="7"/>
      <c r="RAP7" s="7"/>
      <c r="RAW7" s="7"/>
      <c r="RBD7" s="7"/>
      <c r="RBK7" s="7"/>
      <c r="RBR7" s="7"/>
      <c r="RBY7" s="7"/>
      <c r="RCF7" s="7"/>
      <c r="RCM7" s="7"/>
      <c r="RCT7" s="7"/>
      <c r="RDA7" s="7"/>
      <c r="RDH7" s="7"/>
      <c r="RDO7" s="7"/>
      <c r="RDV7" s="7"/>
      <c r="REC7" s="7"/>
      <c r="REJ7" s="7"/>
      <c r="REQ7" s="7"/>
      <c r="REX7" s="7"/>
      <c r="RFE7" s="7"/>
      <c r="RFL7" s="7"/>
      <c r="RFS7" s="7"/>
      <c r="RFZ7" s="7"/>
      <c r="RGG7" s="7"/>
      <c r="RGN7" s="7"/>
      <c r="RGU7" s="7"/>
      <c r="RHB7" s="7"/>
      <c r="RHI7" s="7"/>
      <c r="RHP7" s="7"/>
      <c r="RHW7" s="7"/>
      <c r="RID7" s="7"/>
      <c r="RIK7" s="7"/>
      <c r="RIR7" s="7"/>
      <c r="RIY7" s="7"/>
      <c r="RJF7" s="7"/>
      <c r="RJM7" s="7"/>
      <c r="RJT7" s="7"/>
      <c r="RKA7" s="7"/>
      <c r="RKH7" s="7"/>
      <c r="RKO7" s="7"/>
      <c r="RKV7" s="7"/>
      <c r="RLC7" s="7"/>
      <c r="RLJ7" s="7"/>
      <c r="RLQ7" s="7"/>
      <c r="RLX7" s="7"/>
      <c r="RME7" s="7"/>
      <c r="RML7" s="7"/>
      <c r="RMS7" s="7"/>
      <c r="RMZ7" s="7"/>
      <c r="RNG7" s="7"/>
      <c r="RNN7" s="7"/>
      <c r="RNU7" s="7"/>
      <c r="ROB7" s="7"/>
      <c r="ROI7" s="7"/>
      <c r="ROP7" s="7"/>
      <c r="ROW7" s="7"/>
      <c r="RPD7" s="7"/>
      <c r="RPK7" s="7"/>
      <c r="RPR7" s="7"/>
      <c r="RPY7" s="7"/>
      <c r="RQF7" s="7"/>
      <c r="RQM7" s="7"/>
      <c r="RQT7" s="7"/>
      <c r="RRA7" s="7"/>
      <c r="RRH7" s="7"/>
      <c r="RRO7" s="7"/>
      <c r="RRV7" s="7"/>
      <c r="RSC7" s="7"/>
      <c r="RSJ7" s="7"/>
      <c r="RSQ7" s="7"/>
      <c r="RSX7" s="7"/>
      <c r="RTE7" s="7"/>
      <c r="RTL7" s="7"/>
      <c r="RTS7" s="7"/>
      <c r="RTZ7" s="7"/>
      <c r="RUG7" s="7"/>
      <c r="RUN7" s="7"/>
      <c r="RUU7" s="7"/>
      <c r="RVB7" s="7"/>
      <c r="RVI7" s="7"/>
      <c r="RVP7" s="7"/>
      <c r="RVW7" s="7"/>
      <c r="RWD7" s="7"/>
      <c r="RWK7" s="7"/>
      <c r="RWR7" s="7"/>
      <c r="RWY7" s="7"/>
      <c r="RXF7" s="7"/>
      <c r="RXM7" s="7"/>
      <c r="RXT7" s="7"/>
      <c r="RYA7" s="7"/>
      <c r="RYH7" s="7"/>
      <c r="RYO7" s="7"/>
      <c r="RYV7" s="7"/>
      <c r="RZC7" s="7"/>
      <c r="RZJ7" s="7"/>
      <c r="RZQ7" s="7"/>
      <c r="RZX7" s="7"/>
      <c r="SAE7" s="7"/>
      <c r="SAL7" s="7"/>
      <c r="SAS7" s="7"/>
      <c r="SAZ7" s="7"/>
      <c r="SBG7" s="7"/>
      <c r="SBN7" s="7"/>
      <c r="SBU7" s="7"/>
      <c r="SCB7" s="7"/>
      <c r="SCI7" s="7"/>
      <c r="SCP7" s="7"/>
      <c r="SCW7" s="7"/>
      <c r="SDD7" s="7"/>
      <c r="SDK7" s="7"/>
      <c r="SDR7" s="7"/>
      <c r="SDY7" s="7"/>
      <c r="SEF7" s="7"/>
      <c r="SEM7" s="7"/>
      <c r="SET7" s="7"/>
      <c r="SFA7" s="7"/>
      <c r="SFH7" s="7"/>
      <c r="SFO7" s="7"/>
      <c r="SFV7" s="7"/>
      <c r="SGC7" s="7"/>
      <c r="SGJ7" s="7"/>
      <c r="SGQ7" s="7"/>
      <c r="SGX7" s="7"/>
      <c r="SHE7" s="7"/>
      <c r="SHL7" s="7"/>
      <c r="SHS7" s="7"/>
      <c r="SHZ7" s="7"/>
      <c r="SIG7" s="7"/>
      <c r="SIN7" s="7"/>
      <c r="SIU7" s="7"/>
      <c r="SJB7" s="7"/>
      <c r="SJI7" s="7"/>
      <c r="SJP7" s="7"/>
      <c r="SJW7" s="7"/>
      <c r="SKD7" s="7"/>
      <c r="SKK7" s="7"/>
      <c r="SKR7" s="7"/>
      <c r="SKY7" s="7"/>
      <c r="SLF7" s="7"/>
      <c r="SLM7" s="7"/>
      <c r="SLT7" s="7"/>
      <c r="SMA7" s="7"/>
      <c r="SMH7" s="7"/>
      <c r="SMO7" s="7"/>
      <c r="SMV7" s="7"/>
      <c r="SNC7" s="7"/>
      <c r="SNJ7" s="7"/>
      <c r="SNQ7" s="7"/>
      <c r="SNX7" s="7"/>
      <c r="SOE7" s="7"/>
      <c r="SOL7" s="7"/>
      <c r="SOS7" s="7"/>
      <c r="SOZ7" s="7"/>
      <c r="SPG7" s="7"/>
      <c r="SPN7" s="7"/>
      <c r="SPU7" s="7"/>
      <c r="SQB7" s="7"/>
      <c r="SQI7" s="7"/>
      <c r="SQP7" s="7"/>
      <c r="SQW7" s="7"/>
      <c r="SRD7" s="7"/>
      <c r="SRK7" s="7"/>
      <c r="SRR7" s="7"/>
      <c r="SRY7" s="7"/>
      <c r="SSF7" s="7"/>
      <c r="SSM7" s="7"/>
      <c r="SST7" s="7"/>
      <c r="STA7" s="7"/>
      <c r="STH7" s="7"/>
      <c r="STO7" s="7"/>
      <c r="STV7" s="7"/>
      <c r="SUC7" s="7"/>
      <c r="SUJ7" s="7"/>
      <c r="SUQ7" s="7"/>
      <c r="SUX7" s="7"/>
      <c r="SVE7" s="7"/>
      <c r="SVL7" s="7"/>
      <c r="SVS7" s="7"/>
      <c r="SVZ7" s="7"/>
      <c r="SWG7" s="7"/>
      <c r="SWN7" s="7"/>
      <c r="SWU7" s="7"/>
      <c r="SXB7" s="7"/>
      <c r="SXI7" s="7"/>
      <c r="SXP7" s="7"/>
      <c r="SXW7" s="7"/>
      <c r="SYD7" s="7"/>
      <c r="SYK7" s="7"/>
      <c r="SYR7" s="7"/>
      <c r="SYY7" s="7"/>
      <c r="SZF7" s="7"/>
      <c r="SZM7" s="7"/>
      <c r="SZT7" s="7"/>
      <c r="TAA7" s="7"/>
      <c r="TAH7" s="7"/>
      <c r="TAO7" s="7"/>
      <c r="TAV7" s="7"/>
      <c r="TBC7" s="7"/>
      <c r="TBJ7" s="7"/>
      <c r="TBQ7" s="7"/>
      <c r="TBX7" s="7"/>
      <c r="TCE7" s="7"/>
      <c r="TCL7" s="7"/>
      <c r="TCS7" s="7"/>
      <c r="TCZ7" s="7"/>
      <c r="TDG7" s="7"/>
      <c r="TDN7" s="7"/>
      <c r="TDU7" s="7"/>
      <c r="TEB7" s="7"/>
      <c r="TEI7" s="7"/>
      <c r="TEP7" s="7"/>
      <c r="TEW7" s="7"/>
      <c r="TFD7" s="7"/>
      <c r="TFK7" s="7"/>
      <c r="TFR7" s="7"/>
      <c r="TFY7" s="7"/>
      <c r="TGF7" s="7"/>
      <c r="TGM7" s="7"/>
      <c r="TGT7" s="7"/>
      <c r="THA7" s="7"/>
      <c r="THH7" s="7"/>
      <c r="THO7" s="7"/>
      <c r="THV7" s="7"/>
      <c r="TIC7" s="7"/>
      <c r="TIJ7" s="7"/>
      <c r="TIQ7" s="7"/>
      <c r="TIX7" s="7"/>
      <c r="TJE7" s="7"/>
      <c r="TJL7" s="7"/>
      <c r="TJS7" s="7"/>
      <c r="TJZ7" s="7"/>
      <c r="TKG7" s="7"/>
      <c r="TKN7" s="7"/>
      <c r="TKU7" s="7"/>
      <c r="TLB7" s="7"/>
      <c r="TLI7" s="7"/>
      <c r="TLP7" s="7"/>
      <c r="TLW7" s="7"/>
      <c r="TMD7" s="7"/>
      <c r="TMK7" s="7"/>
      <c r="TMR7" s="7"/>
      <c r="TMY7" s="7"/>
      <c r="TNF7" s="7"/>
      <c r="TNM7" s="7"/>
      <c r="TNT7" s="7"/>
      <c r="TOA7" s="7"/>
      <c r="TOH7" s="7"/>
      <c r="TOO7" s="7"/>
      <c r="TOV7" s="7"/>
      <c r="TPC7" s="7"/>
      <c r="TPJ7" s="7"/>
      <c r="TPQ7" s="7"/>
      <c r="TPX7" s="7"/>
      <c r="TQE7" s="7"/>
      <c r="TQL7" s="7"/>
      <c r="TQS7" s="7"/>
      <c r="TQZ7" s="7"/>
      <c r="TRG7" s="7"/>
      <c r="TRN7" s="7"/>
      <c r="TRU7" s="7"/>
      <c r="TSB7" s="7"/>
      <c r="TSI7" s="7"/>
      <c r="TSP7" s="7"/>
      <c r="TSW7" s="7"/>
      <c r="TTD7" s="7"/>
      <c r="TTK7" s="7"/>
      <c r="TTR7" s="7"/>
      <c r="TTY7" s="7"/>
      <c r="TUF7" s="7"/>
      <c r="TUM7" s="7"/>
      <c r="TUT7" s="7"/>
      <c r="TVA7" s="7"/>
      <c r="TVH7" s="7"/>
      <c r="TVO7" s="7"/>
      <c r="TVV7" s="7"/>
      <c r="TWC7" s="7"/>
      <c r="TWJ7" s="7"/>
      <c r="TWQ7" s="7"/>
      <c r="TWX7" s="7"/>
      <c r="TXE7" s="7"/>
      <c r="TXL7" s="7"/>
      <c r="TXS7" s="7"/>
      <c r="TXZ7" s="7"/>
      <c r="TYG7" s="7"/>
      <c r="TYN7" s="7"/>
      <c r="TYU7" s="7"/>
      <c r="TZB7" s="7"/>
      <c r="TZI7" s="7"/>
      <c r="TZP7" s="7"/>
      <c r="TZW7" s="7"/>
      <c r="UAD7" s="7"/>
      <c r="UAK7" s="7"/>
      <c r="UAR7" s="7"/>
      <c r="UAY7" s="7"/>
      <c r="UBF7" s="7"/>
      <c r="UBM7" s="7"/>
      <c r="UBT7" s="7"/>
      <c r="UCA7" s="7"/>
      <c r="UCH7" s="7"/>
      <c r="UCO7" s="7"/>
      <c r="UCV7" s="7"/>
      <c r="UDC7" s="7"/>
      <c r="UDJ7" s="7"/>
      <c r="UDQ7" s="7"/>
      <c r="UDX7" s="7"/>
      <c r="UEE7" s="7"/>
      <c r="UEL7" s="7"/>
      <c r="UES7" s="7"/>
      <c r="UEZ7" s="7"/>
      <c r="UFG7" s="7"/>
      <c r="UFN7" s="7"/>
      <c r="UFU7" s="7"/>
      <c r="UGB7" s="7"/>
      <c r="UGI7" s="7"/>
      <c r="UGP7" s="7"/>
      <c r="UGW7" s="7"/>
      <c r="UHD7" s="7"/>
      <c r="UHK7" s="7"/>
      <c r="UHR7" s="7"/>
      <c r="UHY7" s="7"/>
      <c r="UIF7" s="7"/>
      <c r="UIM7" s="7"/>
      <c r="UIT7" s="7"/>
      <c r="UJA7" s="7"/>
      <c r="UJH7" s="7"/>
      <c r="UJO7" s="7"/>
      <c r="UJV7" s="7"/>
      <c r="UKC7" s="7"/>
      <c r="UKJ7" s="7"/>
      <c r="UKQ7" s="7"/>
      <c r="UKX7" s="7"/>
      <c r="ULE7" s="7"/>
      <c r="ULL7" s="7"/>
      <c r="ULS7" s="7"/>
      <c r="ULZ7" s="7"/>
      <c r="UMG7" s="7"/>
      <c r="UMN7" s="7"/>
      <c r="UMU7" s="7"/>
      <c r="UNB7" s="7"/>
      <c r="UNI7" s="7"/>
      <c r="UNP7" s="7"/>
      <c r="UNW7" s="7"/>
      <c r="UOD7" s="7"/>
      <c r="UOK7" s="7"/>
      <c r="UOR7" s="7"/>
      <c r="UOY7" s="7"/>
      <c r="UPF7" s="7"/>
      <c r="UPM7" s="7"/>
      <c r="UPT7" s="7"/>
      <c r="UQA7" s="7"/>
      <c r="UQH7" s="7"/>
      <c r="UQO7" s="7"/>
      <c r="UQV7" s="7"/>
      <c r="URC7" s="7"/>
      <c r="URJ7" s="7"/>
      <c r="URQ7" s="7"/>
      <c r="URX7" s="7"/>
      <c r="USE7" s="7"/>
      <c r="USL7" s="7"/>
      <c r="USS7" s="7"/>
      <c r="USZ7" s="7"/>
      <c r="UTG7" s="7"/>
      <c r="UTN7" s="7"/>
      <c r="UTU7" s="7"/>
      <c r="UUB7" s="7"/>
      <c r="UUI7" s="7"/>
      <c r="UUP7" s="7"/>
      <c r="UUW7" s="7"/>
      <c r="UVD7" s="7"/>
      <c r="UVK7" s="7"/>
      <c r="UVR7" s="7"/>
      <c r="UVY7" s="7"/>
      <c r="UWF7" s="7"/>
      <c r="UWM7" s="7"/>
      <c r="UWT7" s="7"/>
      <c r="UXA7" s="7"/>
      <c r="UXH7" s="7"/>
      <c r="UXO7" s="7"/>
      <c r="UXV7" s="7"/>
      <c r="UYC7" s="7"/>
      <c r="UYJ7" s="7"/>
      <c r="UYQ7" s="7"/>
      <c r="UYX7" s="7"/>
      <c r="UZE7" s="7"/>
      <c r="UZL7" s="7"/>
      <c r="UZS7" s="7"/>
      <c r="UZZ7" s="7"/>
      <c r="VAG7" s="7"/>
      <c r="VAN7" s="7"/>
      <c r="VAU7" s="7"/>
      <c r="VBB7" s="7"/>
      <c r="VBI7" s="7"/>
      <c r="VBP7" s="7"/>
      <c r="VBW7" s="7"/>
      <c r="VCD7" s="7"/>
      <c r="VCK7" s="7"/>
      <c r="VCR7" s="7"/>
      <c r="VCY7" s="7"/>
      <c r="VDF7" s="7"/>
      <c r="VDM7" s="7"/>
      <c r="VDT7" s="7"/>
      <c r="VEA7" s="7"/>
      <c r="VEH7" s="7"/>
      <c r="VEO7" s="7"/>
      <c r="VEV7" s="7"/>
      <c r="VFC7" s="7"/>
      <c r="VFJ7" s="7"/>
      <c r="VFQ7" s="7"/>
      <c r="VFX7" s="7"/>
      <c r="VGE7" s="7"/>
      <c r="VGL7" s="7"/>
      <c r="VGS7" s="7"/>
      <c r="VGZ7" s="7"/>
      <c r="VHG7" s="7"/>
      <c r="VHN7" s="7"/>
      <c r="VHU7" s="7"/>
      <c r="VIB7" s="7"/>
      <c r="VII7" s="7"/>
      <c r="VIP7" s="7"/>
      <c r="VIW7" s="7"/>
      <c r="VJD7" s="7"/>
      <c r="VJK7" s="7"/>
      <c r="VJR7" s="7"/>
      <c r="VJY7" s="7"/>
      <c r="VKF7" s="7"/>
      <c r="VKM7" s="7"/>
      <c r="VKT7" s="7"/>
      <c r="VLA7" s="7"/>
      <c r="VLH7" s="7"/>
      <c r="VLO7" s="7"/>
      <c r="VLV7" s="7"/>
      <c r="VMC7" s="7"/>
      <c r="VMJ7" s="7"/>
      <c r="VMQ7" s="7"/>
      <c r="VMX7" s="7"/>
      <c r="VNE7" s="7"/>
      <c r="VNL7" s="7"/>
      <c r="VNS7" s="7"/>
      <c r="VNZ7" s="7"/>
      <c r="VOG7" s="7"/>
      <c r="VON7" s="7"/>
      <c r="VOU7" s="7"/>
      <c r="VPB7" s="7"/>
      <c r="VPI7" s="7"/>
      <c r="VPP7" s="7"/>
      <c r="VPW7" s="7"/>
      <c r="VQD7" s="7"/>
      <c r="VQK7" s="7"/>
      <c r="VQR7" s="7"/>
      <c r="VQY7" s="7"/>
      <c r="VRF7" s="7"/>
      <c r="VRM7" s="7"/>
      <c r="VRT7" s="7"/>
      <c r="VSA7" s="7"/>
      <c r="VSH7" s="7"/>
      <c r="VSO7" s="7"/>
      <c r="VSV7" s="7"/>
      <c r="VTC7" s="7"/>
      <c r="VTJ7" s="7"/>
      <c r="VTQ7" s="7"/>
      <c r="VTX7" s="7"/>
      <c r="VUE7" s="7"/>
      <c r="VUL7" s="7"/>
      <c r="VUS7" s="7"/>
      <c r="VUZ7" s="7"/>
      <c r="VVG7" s="7"/>
      <c r="VVN7" s="7"/>
      <c r="VVU7" s="7"/>
      <c r="VWB7" s="7"/>
      <c r="VWI7" s="7"/>
      <c r="VWP7" s="7"/>
      <c r="VWW7" s="7"/>
      <c r="VXD7" s="7"/>
      <c r="VXK7" s="7"/>
      <c r="VXR7" s="7"/>
      <c r="VXY7" s="7"/>
      <c r="VYF7" s="7"/>
      <c r="VYM7" s="7"/>
      <c r="VYT7" s="7"/>
      <c r="VZA7" s="7"/>
      <c r="VZH7" s="7"/>
      <c r="VZO7" s="7"/>
      <c r="VZV7" s="7"/>
      <c r="WAC7" s="7"/>
      <c r="WAJ7" s="7"/>
      <c r="WAQ7" s="7"/>
      <c r="WAX7" s="7"/>
      <c r="WBE7" s="7"/>
      <c r="WBL7" s="7"/>
      <c r="WBS7" s="7"/>
      <c r="WBZ7" s="7"/>
      <c r="WCG7" s="7"/>
      <c r="WCN7" s="7"/>
      <c r="WCU7" s="7"/>
      <c r="WDB7" s="7"/>
      <c r="WDI7" s="7"/>
      <c r="WDP7" s="7"/>
      <c r="WDW7" s="7"/>
      <c r="WED7" s="7"/>
      <c r="WEK7" s="7"/>
      <c r="WER7" s="7"/>
      <c r="WEY7" s="7"/>
      <c r="WFF7" s="7"/>
      <c r="WFM7" s="7"/>
      <c r="WFT7" s="7"/>
      <c r="WGA7" s="7"/>
      <c r="WGH7" s="7"/>
      <c r="WGO7" s="7"/>
      <c r="WGV7" s="7"/>
      <c r="WHC7" s="7"/>
      <c r="WHJ7" s="7"/>
      <c r="WHQ7" s="7"/>
      <c r="WHX7" s="7"/>
      <c r="WIE7" s="7"/>
      <c r="WIL7" s="7"/>
      <c r="WIS7" s="7"/>
      <c r="WIZ7" s="7"/>
      <c r="WJG7" s="7"/>
      <c r="WJN7" s="7"/>
      <c r="WJU7" s="7"/>
      <c r="WKB7" s="7"/>
      <c r="WKI7" s="7"/>
      <c r="WKP7" s="7"/>
      <c r="WKW7" s="7"/>
      <c r="WLD7" s="7"/>
      <c r="WLK7" s="7"/>
      <c r="WLR7" s="7"/>
      <c r="WLY7" s="7"/>
      <c r="WMF7" s="7"/>
      <c r="WMM7" s="7"/>
      <c r="WMT7" s="7"/>
      <c r="WNA7" s="7"/>
      <c r="WNH7" s="7"/>
      <c r="WNO7" s="7"/>
      <c r="WNV7" s="7"/>
      <c r="WOC7" s="7"/>
      <c r="WOJ7" s="7"/>
      <c r="WOQ7" s="7"/>
      <c r="WOX7" s="7"/>
      <c r="WPE7" s="7"/>
      <c r="WPL7" s="7"/>
      <c r="WPS7" s="7"/>
      <c r="WPZ7" s="7"/>
      <c r="WQG7" s="7"/>
      <c r="WQN7" s="7"/>
      <c r="WQU7" s="7"/>
      <c r="WRB7" s="7"/>
      <c r="WRI7" s="7"/>
      <c r="WRP7" s="7"/>
      <c r="WRW7" s="7"/>
      <c r="WSD7" s="7"/>
      <c r="WSK7" s="7"/>
      <c r="WSR7" s="7"/>
      <c r="WSY7" s="7"/>
      <c r="WTF7" s="7"/>
      <c r="WTM7" s="7"/>
      <c r="WTT7" s="7"/>
      <c r="WUA7" s="7"/>
      <c r="WUH7" s="7"/>
      <c r="WUO7" s="7"/>
      <c r="WUV7" s="7"/>
      <c r="WVC7" s="7"/>
      <c r="WVJ7" s="7"/>
      <c r="WVQ7" s="7"/>
      <c r="WVX7" s="7"/>
      <c r="WWE7" s="7"/>
      <c r="WWL7" s="7"/>
      <c r="WWS7" s="7"/>
      <c r="WWZ7" s="7"/>
      <c r="WXG7" s="7"/>
      <c r="WXN7" s="7"/>
      <c r="WXU7" s="7"/>
      <c r="WYB7" s="7"/>
      <c r="WYI7" s="7"/>
      <c r="WYP7" s="7"/>
      <c r="WYW7" s="7"/>
      <c r="WZD7" s="7"/>
      <c r="WZK7" s="7"/>
      <c r="WZR7" s="7"/>
      <c r="WZY7" s="7"/>
      <c r="XAF7" s="7"/>
      <c r="XAM7" s="7"/>
      <c r="XAT7" s="7"/>
      <c r="XBA7" s="7"/>
      <c r="XBH7" s="7"/>
      <c r="XBO7" s="7"/>
      <c r="XBV7" s="7"/>
      <c r="XCC7" s="7"/>
      <c r="XCJ7" s="7"/>
      <c r="XCQ7" s="7"/>
      <c r="XCX7" s="7"/>
      <c r="XDE7" s="7"/>
      <c r="XDL7" s="7"/>
      <c r="XDS7" s="7"/>
      <c r="XDZ7" s="7"/>
      <c r="XEG7" s="7"/>
      <c r="XEN7" s="7"/>
      <c r="XEU7" s="7"/>
      <c r="XFB7" s="7"/>
    </row>
    <row r="8" spans="1:1024 1031:2046 2053:3068 3075:4090 4097:5119 5126:6141 6148:7163 7170:8192 8199:9214 9221:10236 10243:11258 11265:12287 12294:13309 13316:14331 14338:15360 15367:16382" ht="15.6" x14ac:dyDescent="0.55000000000000004">
      <c r="A8" s="5" t="s">
        <v>14</v>
      </c>
      <c r="B8" s="20">
        <v>25.27</v>
      </c>
      <c r="C8" s="20">
        <v>39.51</v>
      </c>
      <c r="D8" s="20">
        <v>-4.5599999999999996</v>
      </c>
      <c r="E8" s="20">
        <v>37.79</v>
      </c>
      <c r="F8" s="20">
        <v>66.34</v>
      </c>
      <c r="G8" s="20">
        <v>74.86</v>
      </c>
    </row>
    <row r="9" spans="1:1024 1031:2046 2053:3068 3075:4090 4097:5119 5126:6141 6148:7163 7170:8192 8199:9214 9221:10236 10243:11258 11265:12287 12294:13309 13316:14331 14338:15360 15367:16382" s="8" customFormat="1" ht="15.6" x14ac:dyDescent="0.55000000000000004">
      <c r="A9" s="7" t="s">
        <v>15</v>
      </c>
      <c r="B9" s="25">
        <v>6.5500000000000003E-2</v>
      </c>
      <c r="C9" s="25">
        <v>8.4099999999999994E-2</v>
      </c>
      <c r="D9" s="25">
        <v>-8.8999999999999999E-3</v>
      </c>
      <c r="E9" s="25">
        <v>6.5699999999999995E-2</v>
      </c>
      <c r="F9" s="25">
        <v>0.104</v>
      </c>
      <c r="G9" s="25">
        <v>0.11509999999999999</v>
      </c>
      <c r="H9"/>
      <c r="I9" s="7"/>
      <c r="P9" s="7"/>
      <c r="W9" s="7"/>
      <c r="AD9" s="7"/>
      <c r="AK9" s="7"/>
      <c r="AR9" s="7"/>
      <c r="AY9" s="7"/>
      <c r="BF9" s="7"/>
      <c r="BM9" s="7"/>
      <c r="BT9" s="7"/>
      <c r="CA9" s="7"/>
      <c r="CH9" s="7"/>
      <c r="CO9" s="7"/>
      <c r="CV9" s="7"/>
      <c r="DC9" s="7"/>
      <c r="DJ9" s="7"/>
      <c r="DQ9" s="7"/>
      <c r="DX9" s="7"/>
      <c r="EE9" s="7"/>
      <c r="EL9" s="7"/>
      <c r="ES9" s="7"/>
      <c r="EZ9" s="7"/>
      <c r="FG9" s="7"/>
      <c r="FN9" s="7"/>
      <c r="FU9" s="7"/>
      <c r="GB9" s="7"/>
      <c r="GI9" s="7"/>
      <c r="GP9" s="7"/>
      <c r="GW9" s="7"/>
      <c r="HD9" s="7"/>
      <c r="HK9" s="7"/>
      <c r="HR9" s="7"/>
      <c r="HY9" s="7"/>
      <c r="IF9" s="7"/>
      <c r="IM9" s="7"/>
      <c r="IT9" s="7"/>
      <c r="JA9" s="7"/>
      <c r="JH9" s="7"/>
      <c r="JO9" s="7"/>
      <c r="JV9" s="7"/>
      <c r="KC9" s="7"/>
      <c r="KJ9" s="7"/>
      <c r="KQ9" s="7"/>
      <c r="KX9" s="7"/>
      <c r="LE9" s="7"/>
      <c r="LL9" s="7"/>
      <c r="LS9" s="7"/>
      <c r="LZ9" s="7"/>
      <c r="MG9" s="7"/>
      <c r="MN9" s="7"/>
      <c r="MU9" s="7"/>
      <c r="NB9" s="7"/>
      <c r="NI9" s="7"/>
      <c r="NP9" s="7"/>
      <c r="NW9" s="7"/>
      <c r="OD9" s="7"/>
      <c r="OK9" s="7"/>
      <c r="OR9" s="7"/>
      <c r="OY9" s="7"/>
      <c r="PF9" s="7"/>
      <c r="PM9" s="7"/>
      <c r="PT9" s="7"/>
      <c r="QA9" s="7"/>
      <c r="QH9" s="7"/>
      <c r="QO9" s="7"/>
      <c r="QV9" s="7"/>
      <c r="RC9" s="7"/>
      <c r="RJ9" s="7"/>
      <c r="RQ9" s="7"/>
      <c r="RX9" s="7"/>
      <c r="SE9" s="7"/>
      <c r="SL9" s="7"/>
      <c r="SS9" s="7"/>
      <c r="SZ9" s="7"/>
      <c r="TG9" s="7"/>
      <c r="TN9" s="7"/>
      <c r="TU9" s="7"/>
      <c r="UB9" s="7"/>
      <c r="UI9" s="7"/>
      <c r="UP9" s="7"/>
      <c r="UW9" s="7"/>
      <c r="VD9" s="7"/>
      <c r="VK9" s="7"/>
      <c r="VR9" s="7"/>
      <c r="VY9" s="7"/>
      <c r="WF9" s="7"/>
      <c r="WM9" s="7"/>
      <c r="WT9" s="7"/>
      <c r="XA9" s="7"/>
      <c r="XH9" s="7"/>
      <c r="XO9" s="7"/>
      <c r="XV9" s="7"/>
      <c r="YC9" s="7"/>
      <c r="YJ9" s="7"/>
      <c r="YQ9" s="7"/>
      <c r="YX9" s="7"/>
      <c r="ZE9" s="7"/>
      <c r="ZL9" s="7"/>
      <c r="ZS9" s="7"/>
      <c r="ZZ9" s="7"/>
      <c r="AAG9" s="7"/>
      <c r="AAN9" s="7"/>
      <c r="AAU9" s="7"/>
      <c r="ABB9" s="7"/>
      <c r="ABI9" s="7"/>
      <c r="ABP9" s="7"/>
      <c r="ABW9" s="7"/>
      <c r="ACD9" s="7"/>
      <c r="ACK9" s="7"/>
      <c r="ACR9" s="7"/>
      <c r="ACY9" s="7"/>
      <c r="ADF9" s="7"/>
      <c r="ADM9" s="7"/>
      <c r="ADT9" s="7"/>
      <c r="AEA9" s="7"/>
      <c r="AEH9" s="7"/>
      <c r="AEO9" s="7"/>
      <c r="AEV9" s="7"/>
      <c r="AFC9" s="7"/>
      <c r="AFJ9" s="7"/>
      <c r="AFQ9" s="7"/>
      <c r="AFX9" s="7"/>
      <c r="AGE9" s="7"/>
      <c r="AGL9" s="7"/>
      <c r="AGS9" s="7"/>
      <c r="AGZ9" s="7"/>
      <c r="AHG9" s="7"/>
      <c r="AHN9" s="7"/>
      <c r="AHU9" s="7"/>
      <c r="AIB9" s="7"/>
      <c r="AII9" s="7"/>
      <c r="AIP9" s="7"/>
      <c r="AIW9" s="7"/>
      <c r="AJD9" s="7"/>
      <c r="AJK9" s="7"/>
      <c r="AJR9" s="7"/>
      <c r="AJY9" s="7"/>
      <c r="AKF9" s="7"/>
      <c r="AKM9" s="7"/>
      <c r="AKT9" s="7"/>
      <c r="ALA9" s="7"/>
      <c r="ALH9" s="7"/>
      <c r="ALO9" s="7"/>
      <c r="ALV9" s="7"/>
      <c r="AMC9" s="7"/>
      <c r="AMJ9" s="7"/>
      <c r="AMQ9" s="7"/>
      <c r="AMX9" s="7"/>
      <c r="ANE9" s="7"/>
      <c r="ANL9" s="7"/>
      <c r="ANS9" s="7"/>
      <c r="ANZ9" s="7"/>
      <c r="AOG9" s="7"/>
      <c r="AON9" s="7"/>
      <c r="AOU9" s="7"/>
      <c r="APB9" s="7"/>
      <c r="API9" s="7"/>
      <c r="APP9" s="7"/>
      <c r="APW9" s="7"/>
      <c r="AQD9" s="7"/>
      <c r="AQK9" s="7"/>
      <c r="AQR9" s="7"/>
      <c r="AQY9" s="7"/>
      <c r="ARF9" s="7"/>
      <c r="ARM9" s="7"/>
      <c r="ART9" s="7"/>
      <c r="ASA9" s="7"/>
      <c r="ASH9" s="7"/>
      <c r="ASO9" s="7"/>
      <c r="ASV9" s="7"/>
      <c r="ATC9" s="7"/>
      <c r="ATJ9" s="7"/>
      <c r="ATQ9" s="7"/>
      <c r="ATX9" s="7"/>
      <c r="AUE9" s="7"/>
      <c r="AUL9" s="7"/>
      <c r="AUS9" s="7"/>
      <c r="AUZ9" s="7"/>
      <c r="AVG9" s="7"/>
      <c r="AVN9" s="7"/>
      <c r="AVU9" s="7"/>
      <c r="AWB9" s="7"/>
      <c r="AWI9" s="7"/>
      <c r="AWP9" s="7"/>
      <c r="AWW9" s="7"/>
      <c r="AXD9" s="7"/>
      <c r="AXK9" s="7"/>
      <c r="AXR9" s="7"/>
      <c r="AXY9" s="7"/>
      <c r="AYF9" s="7"/>
      <c r="AYM9" s="7"/>
      <c r="AYT9" s="7"/>
      <c r="AZA9" s="7"/>
      <c r="AZH9" s="7"/>
      <c r="AZO9" s="7"/>
      <c r="AZV9" s="7"/>
      <c r="BAC9" s="7"/>
      <c r="BAJ9" s="7"/>
      <c r="BAQ9" s="7"/>
      <c r="BAX9" s="7"/>
      <c r="BBE9" s="7"/>
      <c r="BBL9" s="7"/>
      <c r="BBS9" s="7"/>
      <c r="BBZ9" s="7"/>
      <c r="BCG9" s="7"/>
      <c r="BCN9" s="7"/>
      <c r="BCU9" s="7"/>
      <c r="BDB9" s="7"/>
      <c r="BDI9" s="7"/>
      <c r="BDP9" s="7"/>
      <c r="BDW9" s="7"/>
      <c r="BED9" s="7"/>
      <c r="BEK9" s="7"/>
      <c r="BER9" s="7"/>
      <c r="BEY9" s="7"/>
      <c r="BFF9" s="7"/>
      <c r="BFM9" s="7"/>
      <c r="BFT9" s="7"/>
      <c r="BGA9" s="7"/>
      <c r="BGH9" s="7"/>
      <c r="BGO9" s="7"/>
      <c r="BGV9" s="7"/>
      <c r="BHC9" s="7"/>
      <c r="BHJ9" s="7"/>
      <c r="BHQ9" s="7"/>
      <c r="BHX9" s="7"/>
      <c r="BIE9" s="7"/>
      <c r="BIL9" s="7"/>
      <c r="BIS9" s="7"/>
      <c r="BIZ9" s="7"/>
      <c r="BJG9" s="7"/>
      <c r="BJN9" s="7"/>
      <c r="BJU9" s="7"/>
      <c r="BKB9" s="7"/>
      <c r="BKI9" s="7"/>
      <c r="BKP9" s="7"/>
      <c r="BKW9" s="7"/>
      <c r="BLD9" s="7"/>
      <c r="BLK9" s="7"/>
      <c r="BLR9" s="7"/>
      <c r="BLY9" s="7"/>
      <c r="BMF9" s="7"/>
      <c r="BMM9" s="7"/>
      <c r="BMT9" s="7"/>
      <c r="BNA9" s="7"/>
      <c r="BNH9" s="7"/>
      <c r="BNO9" s="7"/>
      <c r="BNV9" s="7"/>
      <c r="BOC9" s="7"/>
      <c r="BOJ9" s="7"/>
      <c r="BOQ9" s="7"/>
      <c r="BOX9" s="7"/>
      <c r="BPE9" s="7"/>
      <c r="BPL9" s="7"/>
      <c r="BPS9" s="7"/>
      <c r="BPZ9" s="7"/>
      <c r="BQG9" s="7"/>
      <c r="BQN9" s="7"/>
      <c r="BQU9" s="7"/>
      <c r="BRB9" s="7"/>
      <c r="BRI9" s="7"/>
      <c r="BRP9" s="7"/>
      <c r="BRW9" s="7"/>
      <c r="BSD9" s="7"/>
      <c r="BSK9" s="7"/>
      <c r="BSR9" s="7"/>
      <c r="BSY9" s="7"/>
      <c r="BTF9" s="7"/>
      <c r="BTM9" s="7"/>
      <c r="BTT9" s="7"/>
      <c r="BUA9" s="7"/>
      <c r="BUH9" s="7"/>
      <c r="BUO9" s="7"/>
      <c r="BUV9" s="7"/>
      <c r="BVC9" s="7"/>
      <c r="BVJ9" s="7"/>
      <c r="BVQ9" s="7"/>
      <c r="BVX9" s="7"/>
      <c r="BWE9" s="7"/>
      <c r="BWL9" s="7"/>
      <c r="BWS9" s="7"/>
      <c r="BWZ9" s="7"/>
      <c r="BXG9" s="7"/>
      <c r="BXN9" s="7"/>
      <c r="BXU9" s="7"/>
      <c r="BYB9" s="7"/>
      <c r="BYI9" s="7"/>
      <c r="BYP9" s="7"/>
      <c r="BYW9" s="7"/>
      <c r="BZD9" s="7"/>
      <c r="BZK9" s="7"/>
      <c r="BZR9" s="7"/>
      <c r="BZY9" s="7"/>
      <c r="CAF9" s="7"/>
      <c r="CAM9" s="7"/>
      <c r="CAT9" s="7"/>
      <c r="CBA9" s="7"/>
      <c r="CBH9" s="7"/>
      <c r="CBO9" s="7"/>
      <c r="CBV9" s="7"/>
      <c r="CCC9" s="7"/>
      <c r="CCJ9" s="7"/>
      <c r="CCQ9" s="7"/>
      <c r="CCX9" s="7"/>
      <c r="CDE9" s="7"/>
      <c r="CDL9" s="7"/>
      <c r="CDS9" s="7"/>
      <c r="CDZ9" s="7"/>
      <c r="CEG9" s="7"/>
      <c r="CEN9" s="7"/>
      <c r="CEU9" s="7"/>
      <c r="CFB9" s="7"/>
      <c r="CFI9" s="7"/>
      <c r="CFP9" s="7"/>
      <c r="CFW9" s="7"/>
      <c r="CGD9" s="7"/>
      <c r="CGK9" s="7"/>
      <c r="CGR9" s="7"/>
      <c r="CGY9" s="7"/>
      <c r="CHF9" s="7"/>
      <c r="CHM9" s="7"/>
      <c r="CHT9" s="7"/>
      <c r="CIA9" s="7"/>
      <c r="CIH9" s="7"/>
      <c r="CIO9" s="7"/>
      <c r="CIV9" s="7"/>
      <c r="CJC9" s="7"/>
      <c r="CJJ9" s="7"/>
      <c r="CJQ9" s="7"/>
      <c r="CJX9" s="7"/>
      <c r="CKE9" s="7"/>
      <c r="CKL9" s="7"/>
      <c r="CKS9" s="7"/>
      <c r="CKZ9" s="7"/>
      <c r="CLG9" s="7"/>
      <c r="CLN9" s="7"/>
      <c r="CLU9" s="7"/>
      <c r="CMB9" s="7"/>
      <c r="CMI9" s="7"/>
      <c r="CMP9" s="7"/>
      <c r="CMW9" s="7"/>
      <c r="CND9" s="7"/>
      <c r="CNK9" s="7"/>
      <c r="CNR9" s="7"/>
      <c r="CNY9" s="7"/>
      <c r="COF9" s="7"/>
      <c r="COM9" s="7"/>
      <c r="COT9" s="7"/>
      <c r="CPA9" s="7"/>
      <c r="CPH9" s="7"/>
      <c r="CPO9" s="7"/>
      <c r="CPV9" s="7"/>
      <c r="CQC9" s="7"/>
      <c r="CQJ9" s="7"/>
      <c r="CQQ9" s="7"/>
      <c r="CQX9" s="7"/>
      <c r="CRE9" s="7"/>
      <c r="CRL9" s="7"/>
      <c r="CRS9" s="7"/>
      <c r="CRZ9" s="7"/>
      <c r="CSG9" s="7"/>
      <c r="CSN9" s="7"/>
      <c r="CSU9" s="7"/>
      <c r="CTB9" s="7"/>
      <c r="CTI9" s="7"/>
      <c r="CTP9" s="7"/>
      <c r="CTW9" s="7"/>
      <c r="CUD9" s="7"/>
      <c r="CUK9" s="7"/>
      <c r="CUR9" s="7"/>
      <c r="CUY9" s="7"/>
      <c r="CVF9" s="7"/>
      <c r="CVM9" s="7"/>
      <c r="CVT9" s="7"/>
      <c r="CWA9" s="7"/>
      <c r="CWH9" s="7"/>
      <c r="CWO9" s="7"/>
      <c r="CWV9" s="7"/>
      <c r="CXC9" s="7"/>
      <c r="CXJ9" s="7"/>
      <c r="CXQ9" s="7"/>
      <c r="CXX9" s="7"/>
      <c r="CYE9" s="7"/>
      <c r="CYL9" s="7"/>
      <c r="CYS9" s="7"/>
      <c r="CYZ9" s="7"/>
      <c r="CZG9" s="7"/>
      <c r="CZN9" s="7"/>
      <c r="CZU9" s="7"/>
      <c r="DAB9" s="7"/>
      <c r="DAI9" s="7"/>
      <c r="DAP9" s="7"/>
      <c r="DAW9" s="7"/>
      <c r="DBD9" s="7"/>
      <c r="DBK9" s="7"/>
      <c r="DBR9" s="7"/>
      <c r="DBY9" s="7"/>
      <c r="DCF9" s="7"/>
      <c r="DCM9" s="7"/>
      <c r="DCT9" s="7"/>
      <c r="DDA9" s="7"/>
      <c r="DDH9" s="7"/>
      <c r="DDO9" s="7"/>
      <c r="DDV9" s="7"/>
      <c r="DEC9" s="7"/>
      <c r="DEJ9" s="7"/>
      <c r="DEQ9" s="7"/>
      <c r="DEX9" s="7"/>
      <c r="DFE9" s="7"/>
      <c r="DFL9" s="7"/>
      <c r="DFS9" s="7"/>
      <c r="DFZ9" s="7"/>
      <c r="DGG9" s="7"/>
      <c r="DGN9" s="7"/>
      <c r="DGU9" s="7"/>
      <c r="DHB9" s="7"/>
      <c r="DHI9" s="7"/>
      <c r="DHP9" s="7"/>
      <c r="DHW9" s="7"/>
      <c r="DID9" s="7"/>
      <c r="DIK9" s="7"/>
      <c r="DIR9" s="7"/>
      <c r="DIY9" s="7"/>
      <c r="DJF9" s="7"/>
      <c r="DJM9" s="7"/>
      <c r="DJT9" s="7"/>
      <c r="DKA9" s="7"/>
      <c r="DKH9" s="7"/>
      <c r="DKO9" s="7"/>
      <c r="DKV9" s="7"/>
      <c r="DLC9" s="7"/>
      <c r="DLJ9" s="7"/>
      <c r="DLQ9" s="7"/>
      <c r="DLX9" s="7"/>
      <c r="DME9" s="7"/>
      <c r="DML9" s="7"/>
      <c r="DMS9" s="7"/>
      <c r="DMZ9" s="7"/>
      <c r="DNG9" s="7"/>
      <c r="DNN9" s="7"/>
      <c r="DNU9" s="7"/>
      <c r="DOB9" s="7"/>
      <c r="DOI9" s="7"/>
      <c r="DOP9" s="7"/>
      <c r="DOW9" s="7"/>
      <c r="DPD9" s="7"/>
      <c r="DPK9" s="7"/>
      <c r="DPR9" s="7"/>
      <c r="DPY9" s="7"/>
      <c r="DQF9" s="7"/>
      <c r="DQM9" s="7"/>
      <c r="DQT9" s="7"/>
      <c r="DRA9" s="7"/>
      <c r="DRH9" s="7"/>
      <c r="DRO9" s="7"/>
      <c r="DRV9" s="7"/>
      <c r="DSC9" s="7"/>
      <c r="DSJ9" s="7"/>
      <c r="DSQ9" s="7"/>
      <c r="DSX9" s="7"/>
      <c r="DTE9" s="7"/>
      <c r="DTL9" s="7"/>
      <c r="DTS9" s="7"/>
      <c r="DTZ9" s="7"/>
      <c r="DUG9" s="7"/>
      <c r="DUN9" s="7"/>
      <c r="DUU9" s="7"/>
      <c r="DVB9" s="7"/>
      <c r="DVI9" s="7"/>
      <c r="DVP9" s="7"/>
      <c r="DVW9" s="7"/>
      <c r="DWD9" s="7"/>
      <c r="DWK9" s="7"/>
      <c r="DWR9" s="7"/>
      <c r="DWY9" s="7"/>
      <c r="DXF9" s="7"/>
      <c r="DXM9" s="7"/>
      <c r="DXT9" s="7"/>
      <c r="DYA9" s="7"/>
      <c r="DYH9" s="7"/>
      <c r="DYO9" s="7"/>
      <c r="DYV9" s="7"/>
      <c r="DZC9" s="7"/>
      <c r="DZJ9" s="7"/>
      <c r="DZQ9" s="7"/>
      <c r="DZX9" s="7"/>
      <c r="EAE9" s="7"/>
      <c r="EAL9" s="7"/>
      <c r="EAS9" s="7"/>
      <c r="EAZ9" s="7"/>
      <c r="EBG9" s="7"/>
      <c r="EBN9" s="7"/>
      <c r="EBU9" s="7"/>
      <c r="ECB9" s="7"/>
      <c r="ECI9" s="7"/>
      <c r="ECP9" s="7"/>
      <c r="ECW9" s="7"/>
      <c r="EDD9" s="7"/>
      <c r="EDK9" s="7"/>
      <c r="EDR9" s="7"/>
      <c r="EDY9" s="7"/>
      <c r="EEF9" s="7"/>
      <c r="EEM9" s="7"/>
      <c r="EET9" s="7"/>
      <c r="EFA9" s="7"/>
      <c r="EFH9" s="7"/>
      <c r="EFO9" s="7"/>
      <c r="EFV9" s="7"/>
      <c r="EGC9" s="7"/>
      <c r="EGJ9" s="7"/>
      <c r="EGQ9" s="7"/>
      <c r="EGX9" s="7"/>
      <c r="EHE9" s="7"/>
      <c r="EHL9" s="7"/>
      <c r="EHS9" s="7"/>
      <c r="EHZ9" s="7"/>
      <c r="EIG9" s="7"/>
      <c r="EIN9" s="7"/>
      <c r="EIU9" s="7"/>
      <c r="EJB9" s="7"/>
      <c r="EJI9" s="7"/>
      <c r="EJP9" s="7"/>
      <c r="EJW9" s="7"/>
      <c r="EKD9" s="7"/>
      <c r="EKK9" s="7"/>
      <c r="EKR9" s="7"/>
      <c r="EKY9" s="7"/>
      <c r="ELF9" s="7"/>
      <c r="ELM9" s="7"/>
      <c r="ELT9" s="7"/>
      <c r="EMA9" s="7"/>
      <c r="EMH9" s="7"/>
      <c r="EMO9" s="7"/>
      <c r="EMV9" s="7"/>
      <c r="ENC9" s="7"/>
      <c r="ENJ9" s="7"/>
      <c r="ENQ9" s="7"/>
      <c r="ENX9" s="7"/>
      <c r="EOE9" s="7"/>
      <c r="EOL9" s="7"/>
      <c r="EOS9" s="7"/>
      <c r="EOZ9" s="7"/>
      <c r="EPG9" s="7"/>
      <c r="EPN9" s="7"/>
      <c r="EPU9" s="7"/>
      <c r="EQB9" s="7"/>
      <c r="EQI9" s="7"/>
      <c r="EQP9" s="7"/>
      <c r="EQW9" s="7"/>
      <c r="ERD9" s="7"/>
      <c r="ERK9" s="7"/>
      <c r="ERR9" s="7"/>
      <c r="ERY9" s="7"/>
      <c r="ESF9" s="7"/>
      <c r="ESM9" s="7"/>
      <c r="EST9" s="7"/>
      <c r="ETA9" s="7"/>
      <c r="ETH9" s="7"/>
      <c r="ETO9" s="7"/>
      <c r="ETV9" s="7"/>
      <c r="EUC9" s="7"/>
      <c r="EUJ9" s="7"/>
      <c r="EUQ9" s="7"/>
      <c r="EUX9" s="7"/>
      <c r="EVE9" s="7"/>
      <c r="EVL9" s="7"/>
      <c r="EVS9" s="7"/>
      <c r="EVZ9" s="7"/>
      <c r="EWG9" s="7"/>
      <c r="EWN9" s="7"/>
      <c r="EWU9" s="7"/>
      <c r="EXB9" s="7"/>
      <c r="EXI9" s="7"/>
      <c r="EXP9" s="7"/>
      <c r="EXW9" s="7"/>
      <c r="EYD9" s="7"/>
      <c r="EYK9" s="7"/>
      <c r="EYR9" s="7"/>
      <c r="EYY9" s="7"/>
      <c r="EZF9" s="7"/>
      <c r="EZM9" s="7"/>
      <c r="EZT9" s="7"/>
      <c r="FAA9" s="7"/>
      <c r="FAH9" s="7"/>
      <c r="FAO9" s="7"/>
      <c r="FAV9" s="7"/>
      <c r="FBC9" s="7"/>
      <c r="FBJ9" s="7"/>
      <c r="FBQ9" s="7"/>
      <c r="FBX9" s="7"/>
      <c r="FCE9" s="7"/>
      <c r="FCL9" s="7"/>
      <c r="FCS9" s="7"/>
      <c r="FCZ9" s="7"/>
      <c r="FDG9" s="7"/>
      <c r="FDN9" s="7"/>
      <c r="FDU9" s="7"/>
      <c r="FEB9" s="7"/>
      <c r="FEI9" s="7"/>
      <c r="FEP9" s="7"/>
      <c r="FEW9" s="7"/>
      <c r="FFD9" s="7"/>
      <c r="FFK9" s="7"/>
      <c r="FFR9" s="7"/>
      <c r="FFY9" s="7"/>
      <c r="FGF9" s="7"/>
      <c r="FGM9" s="7"/>
      <c r="FGT9" s="7"/>
      <c r="FHA9" s="7"/>
      <c r="FHH9" s="7"/>
      <c r="FHO9" s="7"/>
      <c r="FHV9" s="7"/>
      <c r="FIC9" s="7"/>
      <c r="FIJ9" s="7"/>
      <c r="FIQ9" s="7"/>
      <c r="FIX9" s="7"/>
      <c r="FJE9" s="7"/>
      <c r="FJL9" s="7"/>
      <c r="FJS9" s="7"/>
      <c r="FJZ9" s="7"/>
      <c r="FKG9" s="7"/>
      <c r="FKN9" s="7"/>
      <c r="FKU9" s="7"/>
      <c r="FLB9" s="7"/>
      <c r="FLI9" s="7"/>
      <c r="FLP9" s="7"/>
      <c r="FLW9" s="7"/>
      <c r="FMD9" s="7"/>
      <c r="FMK9" s="7"/>
      <c r="FMR9" s="7"/>
      <c r="FMY9" s="7"/>
      <c r="FNF9" s="7"/>
      <c r="FNM9" s="7"/>
      <c r="FNT9" s="7"/>
      <c r="FOA9" s="7"/>
      <c r="FOH9" s="7"/>
      <c r="FOO9" s="7"/>
      <c r="FOV9" s="7"/>
      <c r="FPC9" s="7"/>
      <c r="FPJ9" s="7"/>
      <c r="FPQ9" s="7"/>
      <c r="FPX9" s="7"/>
      <c r="FQE9" s="7"/>
      <c r="FQL9" s="7"/>
      <c r="FQS9" s="7"/>
      <c r="FQZ9" s="7"/>
      <c r="FRG9" s="7"/>
      <c r="FRN9" s="7"/>
      <c r="FRU9" s="7"/>
      <c r="FSB9" s="7"/>
      <c r="FSI9" s="7"/>
      <c r="FSP9" s="7"/>
      <c r="FSW9" s="7"/>
      <c r="FTD9" s="7"/>
      <c r="FTK9" s="7"/>
      <c r="FTR9" s="7"/>
      <c r="FTY9" s="7"/>
      <c r="FUF9" s="7"/>
      <c r="FUM9" s="7"/>
      <c r="FUT9" s="7"/>
      <c r="FVA9" s="7"/>
      <c r="FVH9" s="7"/>
      <c r="FVO9" s="7"/>
      <c r="FVV9" s="7"/>
      <c r="FWC9" s="7"/>
      <c r="FWJ9" s="7"/>
      <c r="FWQ9" s="7"/>
      <c r="FWX9" s="7"/>
      <c r="FXE9" s="7"/>
      <c r="FXL9" s="7"/>
      <c r="FXS9" s="7"/>
      <c r="FXZ9" s="7"/>
      <c r="FYG9" s="7"/>
      <c r="FYN9" s="7"/>
      <c r="FYU9" s="7"/>
      <c r="FZB9" s="7"/>
      <c r="FZI9" s="7"/>
      <c r="FZP9" s="7"/>
      <c r="FZW9" s="7"/>
      <c r="GAD9" s="7"/>
      <c r="GAK9" s="7"/>
      <c r="GAR9" s="7"/>
      <c r="GAY9" s="7"/>
      <c r="GBF9" s="7"/>
      <c r="GBM9" s="7"/>
      <c r="GBT9" s="7"/>
      <c r="GCA9" s="7"/>
      <c r="GCH9" s="7"/>
      <c r="GCO9" s="7"/>
      <c r="GCV9" s="7"/>
      <c r="GDC9" s="7"/>
      <c r="GDJ9" s="7"/>
      <c r="GDQ9" s="7"/>
      <c r="GDX9" s="7"/>
      <c r="GEE9" s="7"/>
      <c r="GEL9" s="7"/>
      <c r="GES9" s="7"/>
      <c r="GEZ9" s="7"/>
      <c r="GFG9" s="7"/>
      <c r="GFN9" s="7"/>
      <c r="GFU9" s="7"/>
      <c r="GGB9" s="7"/>
      <c r="GGI9" s="7"/>
      <c r="GGP9" s="7"/>
      <c r="GGW9" s="7"/>
      <c r="GHD9" s="7"/>
      <c r="GHK9" s="7"/>
      <c r="GHR9" s="7"/>
      <c r="GHY9" s="7"/>
      <c r="GIF9" s="7"/>
      <c r="GIM9" s="7"/>
      <c r="GIT9" s="7"/>
      <c r="GJA9" s="7"/>
      <c r="GJH9" s="7"/>
      <c r="GJO9" s="7"/>
      <c r="GJV9" s="7"/>
      <c r="GKC9" s="7"/>
      <c r="GKJ9" s="7"/>
      <c r="GKQ9" s="7"/>
      <c r="GKX9" s="7"/>
      <c r="GLE9" s="7"/>
      <c r="GLL9" s="7"/>
      <c r="GLS9" s="7"/>
      <c r="GLZ9" s="7"/>
      <c r="GMG9" s="7"/>
      <c r="GMN9" s="7"/>
      <c r="GMU9" s="7"/>
      <c r="GNB9" s="7"/>
      <c r="GNI9" s="7"/>
      <c r="GNP9" s="7"/>
      <c r="GNW9" s="7"/>
      <c r="GOD9" s="7"/>
      <c r="GOK9" s="7"/>
      <c r="GOR9" s="7"/>
      <c r="GOY9" s="7"/>
      <c r="GPF9" s="7"/>
      <c r="GPM9" s="7"/>
      <c r="GPT9" s="7"/>
      <c r="GQA9" s="7"/>
      <c r="GQH9" s="7"/>
      <c r="GQO9" s="7"/>
      <c r="GQV9" s="7"/>
      <c r="GRC9" s="7"/>
      <c r="GRJ9" s="7"/>
      <c r="GRQ9" s="7"/>
      <c r="GRX9" s="7"/>
      <c r="GSE9" s="7"/>
      <c r="GSL9" s="7"/>
      <c r="GSS9" s="7"/>
      <c r="GSZ9" s="7"/>
      <c r="GTG9" s="7"/>
      <c r="GTN9" s="7"/>
      <c r="GTU9" s="7"/>
      <c r="GUB9" s="7"/>
      <c r="GUI9" s="7"/>
      <c r="GUP9" s="7"/>
      <c r="GUW9" s="7"/>
      <c r="GVD9" s="7"/>
      <c r="GVK9" s="7"/>
      <c r="GVR9" s="7"/>
      <c r="GVY9" s="7"/>
      <c r="GWF9" s="7"/>
      <c r="GWM9" s="7"/>
      <c r="GWT9" s="7"/>
      <c r="GXA9" s="7"/>
      <c r="GXH9" s="7"/>
      <c r="GXO9" s="7"/>
      <c r="GXV9" s="7"/>
      <c r="GYC9" s="7"/>
      <c r="GYJ9" s="7"/>
      <c r="GYQ9" s="7"/>
      <c r="GYX9" s="7"/>
      <c r="GZE9" s="7"/>
      <c r="GZL9" s="7"/>
      <c r="GZS9" s="7"/>
      <c r="GZZ9" s="7"/>
      <c r="HAG9" s="7"/>
      <c r="HAN9" s="7"/>
      <c r="HAU9" s="7"/>
      <c r="HBB9" s="7"/>
      <c r="HBI9" s="7"/>
      <c r="HBP9" s="7"/>
      <c r="HBW9" s="7"/>
      <c r="HCD9" s="7"/>
      <c r="HCK9" s="7"/>
      <c r="HCR9" s="7"/>
      <c r="HCY9" s="7"/>
      <c r="HDF9" s="7"/>
      <c r="HDM9" s="7"/>
      <c r="HDT9" s="7"/>
      <c r="HEA9" s="7"/>
      <c r="HEH9" s="7"/>
      <c r="HEO9" s="7"/>
      <c r="HEV9" s="7"/>
      <c r="HFC9" s="7"/>
      <c r="HFJ9" s="7"/>
      <c r="HFQ9" s="7"/>
      <c r="HFX9" s="7"/>
      <c r="HGE9" s="7"/>
      <c r="HGL9" s="7"/>
      <c r="HGS9" s="7"/>
      <c r="HGZ9" s="7"/>
      <c r="HHG9" s="7"/>
      <c r="HHN9" s="7"/>
      <c r="HHU9" s="7"/>
      <c r="HIB9" s="7"/>
      <c r="HII9" s="7"/>
      <c r="HIP9" s="7"/>
      <c r="HIW9" s="7"/>
      <c r="HJD9" s="7"/>
      <c r="HJK9" s="7"/>
      <c r="HJR9" s="7"/>
      <c r="HJY9" s="7"/>
      <c r="HKF9" s="7"/>
      <c r="HKM9" s="7"/>
      <c r="HKT9" s="7"/>
      <c r="HLA9" s="7"/>
      <c r="HLH9" s="7"/>
      <c r="HLO9" s="7"/>
      <c r="HLV9" s="7"/>
      <c r="HMC9" s="7"/>
      <c r="HMJ9" s="7"/>
      <c r="HMQ9" s="7"/>
      <c r="HMX9" s="7"/>
      <c r="HNE9" s="7"/>
      <c r="HNL9" s="7"/>
      <c r="HNS9" s="7"/>
      <c r="HNZ9" s="7"/>
      <c r="HOG9" s="7"/>
      <c r="HON9" s="7"/>
      <c r="HOU9" s="7"/>
      <c r="HPB9" s="7"/>
      <c r="HPI9" s="7"/>
      <c r="HPP9" s="7"/>
      <c r="HPW9" s="7"/>
      <c r="HQD9" s="7"/>
      <c r="HQK9" s="7"/>
      <c r="HQR9" s="7"/>
      <c r="HQY9" s="7"/>
      <c r="HRF9" s="7"/>
      <c r="HRM9" s="7"/>
      <c r="HRT9" s="7"/>
      <c r="HSA9" s="7"/>
      <c r="HSH9" s="7"/>
      <c r="HSO9" s="7"/>
      <c r="HSV9" s="7"/>
      <c r="HTC9" s="7"/>
      <c r="HTJ9" s="7"/>
      <c r="HTQ9" s="7"/>
      <c r="HTX9" s="7"/>
      <c r="HUE9" s="7"/>
      <c r="HUL9" s="7"/>
      <c r="HUS9" s="7"/>
      <c r="HUZ9" s="7"/>
      <c r="HVG9" s="7"/>
      <c r="HVN9" s="7"/>
      <c r="HVU9" s="7"/>
      <c r="HWB9" s="7"/>
      <c r="HWI9" s="7"/>
      <c r="HWP9" s="7"/>
      <c r="HWW9" s="7"/>
      <c r="HXD9" s="7"/>
      <c r="HXK9" s="7"/>
      <c r="HXR9" s="7"/>
      <c r="HXY9" s="7"/>
      <c r="HYF9" s="7"/>
      <c r="HYM9" s="7"/>
      <c r="HYT9" s="7"/>
      <c r="HZA9" s="7"/>
      <c r="HZH9" s="7"/>
      <c r="HZO9" s="7"/>
      <c r="HZV9" s="7"/>
      <c r="IAC9" s="7"/>
      <c r="IAJ9" s="7"/>
      <c r="IAQ9" s="7"/>
      <c r="IAX9" s="7"/>
      <c r="IBE9" s="7"/>
      <c r="IBL9" s="7"/>
      <c r="IBS9" s="7"/>
      <c r="IBZ9" s="7"/>
      <c r="ICG9" s="7"/>
      <c r="ICN9" s="7"/>
      <c r="ICU9" s="7"/>
      <c r="IDB9" s="7"/>
      <c r="IDI9" s="7"/>
      <c r="IDP9" s="7"/>
      <c r="IDW9" s="7"/>
      <c r="IED9" s="7"/>
      <c r="IEK9" s="7"/>
      <c r="IER9" s="7"/>
      <c r="IEY9" s="7"/>
      <c r="IFF9" s="7"/>
      <c r="IFM9" s="7"/>
      <c r="IFT9" s="7"/>
      <c r="IGA9" s="7"/>
      <c r="IGH9" s="7"/>
      <c r="IGO9" s="7"/>
      <c r="IGV9" s="7"/>
      <c r="IHC9" s="7"/>
      <c r="IHJ9" s="7"/>
      <c r="IHQ9" s="7"/>
      <c r="IHX9" s="7"/>
      <c r="IIE9" s="7"/>
      <c r="IIL9" s="7"/>
      <c r="IIS9" s="7"/>
      <c r="IIZ9" s="7"/>
      <c r="IJG9" s="7"/>
      <c r="IJN9" s="7"/>
      <c r="IJU9" s="7"/>
      <c r="IKB9" s="7"/>
      <c r="IKI9" s="7"/>
      <c r="IKP9" s="7"/>
      <c r="IKW9" s="7"/>
      <c r="ILD9" s="7"/>
      <c r="ILK9" s="7"/>
      <c r="ILR9" s="7"/>
      <c r="ILY9" s="7"/>
      <c r="IMF9" s="7"/>
      <c r="IMM9" s="7"/>
      <c r="IMT9" s="7"/>
      <c r="INA9" s="7"/>
      <c r="INH9" s="7"/>
      <c r="INO9" s="7"/>
      <c r="INV9" s="7"/>
      <c r="IOC9" s="7"/>
      <c r="IOJ9" s="7"/>
      <c r="IOQ9" s="7"/>
      <c r="IOX9" s="7"/>
      <c r="IPE9" s="7"/>
      <c r="IPL9" s="7"/>
      <c r="IPS9" s="7"/>
      <c r="IPZ9" s="7"/>
      <c r="IQG9" s="7"/>
      <c r="IQN9" s="7"/>
      <c r="IQU9" s="7"/>
      <c r="IRB9" s="7"/>
      <c r="IRI9" s="7"/>
      <c r="IRP9" s="7"/>
      <c r="IRW9" s="7"/>
      <c r="ISD9" s="7"/>
      <c r="ISK9" s="7"/>
      <c r="ISR9" s="7"/>
      <c r="ISY9" s="7"/>
      <c r="ITF9" s="7"/>
      <c r="ITM9" s="7"/>
      <c r="ITT9" s="7"/>
      <c r="IUA9" s="7"/>
      <c r="IUH9" s="7"/>
      <c r="IUO9" s="7"/>
      <c r="IUV9" s="7"/>
      <c r="IVC9" s="7"/>
      <c r="IVJ9" s="7"/>
      <c r="IVQ9" s="7"/>
      <c r="IVX9" s="7"/>
      <c r="IWE9" s="7"/>
      <c r="IWL9" s="7"/>
      <c r="IWS9" s="7"/>
      <c r="IWZ9" s="7"/>
      <c r="IXG9" s="7"/>
      <c r="IXN9" s="7"/>
      <c r="IXU9" s="7"/>
      <c r="IYB9" s="7"/>
      <c r="IYI9" s="7"/>
      <c r="IYP9" s="7"/>
      <c r="IYW9" s="7"/>
      <c r="IZD9" s="7"/>
      <c r="IZK9" s="7"/>
      <c r="IZR9" s="7"/>
      <c r="IZY9" s="7"/>
      <c r="JAF9" s="7"/>
      <c r="JAM9" s="7"/>
      <c r="JAT9" s="7"/>
      <c r="JBA9" s="7"/>
      <c r="JBH9" s="7"/>
      <c r="JBO9" s="7"/>
      <c r="JBV9" s="7"/>
      <c r="JCC9" s="7"/>
      <c r="JCJ9" s="7"/>
      <c r="JCQ9" s="7"/>
      <c r="JCX9" s="7"/>
      <c r="JDE9" s="7"/>
      <c r="JDL9" s="7"/>
      <c r="JDS9" s="7"/>
      <c r="JDZ9" s="7"/>
      <c r="JEG9" s="7"/>
      <c r="JEN9" s="7"/>
      <c r="JEU9" s="7"/>
      <c r="JFB9" s="7"/>
      <c r="JFI9" s="7"/>
      <c r="JFP9" s="7"/>
      <c r="JFW9" s="7"/>
      <c r="JGD9" s="7"/>
      <c r="JGK9" s="7"/>
      <c r="JGR9" s="7"/>
      <c r="JGY9" s="7"/>
      <c r="JHF9" s="7"/>
      <c r="JHM9" s="7"/>
      <c r="JHT9" s="7"/>
      <c r="JIA9" s="7"/>
      <c r="JIH9" s="7"/>
      <c r="JIO9" s="7"/>
      <c r="JIV9" s="7"/>
      <c r="JJC9" s="7"/>
      <c r="JJJ9" s="7"/>
      <c r="JJQ9" s="7"/>
      <c r="JJX9" s="7"/>
      <c r="JKE9" s="7"/>
      <c r="JKL9" s="7"/>
      <c r="JKS9" s="7"/>
      <c r="JKZ9" s="7"/>
      <c r="JLG9" s="7"/>
      <c r="JLN9" s="7"/>
      <c r="JLU9" s="7"/>
      <c r="JMB9" s="7"/>
      <c r="JMI9" s="7"/>
      <c r="JMP9" s="7"/>
      <c r="JMW9" s="7"/>
      <c r="JND9" s="7"/>
      <c r="JNK9" s="7"/>
      <c r="JNR9" s="7"/>
      <c r="JNY9" s="7"/>
      <c r="JOF9" s="7"/>
      <c r="JOM9" s="7"/>
      <c r="JOT9" s="7"/>
      <c r="JPA9" s="7"/>
      <c r="JPH9" s="7"/>
      <c r="JPO9" s="7"/>
      <c r="JPV9" s="7"/>
      <c r="JQC9" s="7"/>
      <c r="JQJ9" s="7"/>
      <c r="JQQ9" s="7"/>
      <c r="JQX9" s="7"/>
      <c r="JRE9" s="7"/>
      <c r="JRL9" s="7"/>
      <c r="JRS9" s="7"/>
      <c r="JRZ9" s="7"/>
      <c r="JSG9" s="7"/>
      <c r="JSN9" s="7"/>
      <c r="JSU9" s="7"/>
      <c r="JTB9" s="7"/>
      <c r="JTI9" s="7"/>
      <c r="JTP9" s="7"/>
      <c r="JTW9" s="7"/>
      <c r="JUD9" s="7"/>
      <c r="JUK9" s="7"/>
      <c r="JUR9" s="7"/>
      <c r="JUY9" s="7"/>
      <c r="JVF9" s="7"/>
      <c r="JVM9" s="7"/>
      <c r="JVT9" s="7"/>
      <c r="JWA9" s="7"/>
      <c r="JWH9" s="7"/>
      <c r="JWO9" s="7"/>
      <c r="JWV9" s="7"/>
      <c r="JXC9" s="7"/>
      <c r="JXJ9" s="7"/>
      <c r="JXQ9" s="7"/>
      <c r="JXX9" s="7"/>
      <c r="JYE9" s="7"/>
      <c r="JYL9" s="7"/>
      <c r="JYS9" s="7"/>
      <c r="JYZ9" s="7"/>
      <c r="JZG9" s="7"/>
      <c r="JZN9" s="7"/>
      <c r="JZU9" s="7"/>
      <c r="KAB9" s="7"/>
      <c r="KAI9" s="7"/>
      <c r="KAP9" s="7"/>
      <c r="KAW9" s="7"/>
      <c r="KBD9" s="7"/>
      <c r="KBK9" s="7"/>
      <c r="KBR9" s="7"/>
      <c r="KBY9" s="7"/>
      <c r="KCF9" s="7"/>
      <c r="KCM9" s="7"/>
      <c r="KCT9" s="7"/>
      <c r="KDA9" s="7"/>
      <c r="KDH9" s="7"/>
      <c r="KDO9" s="7"/>
      <c r="KDV9" s="7"/>
      <c r="KEC9" s="7"/>
      <c r="KEJ9" s="7"/>
      <c r="KEQ9" s="7"/>
      <c r="KEX9" s="7"/>
      <c r="KFE9" s="7"/>
      <c r="KFL9" s="7"/>
      <c r="KFS9" s="7"/>
      <c r="KFZ9" s="7"/>
      <c r="KGG9" s="7"/>
      <c r="KGN9" s="7"/>
      <c r="KGU9" s="7"/>
      <c r="KHB9" s="7"/>
      <c r="KHI9" s="7"/>
      <c r="KHP9" s="7"/>
      <c r="KHW9" s="7"/>
      <c r="KID9" s="7"/>
      <c r="KIK9" s="7"/>
      <c r="KIR9" s="7"/>
      <c r="KIY9" s="7"/>
      <c r="KJF9" s="7"/>
      <c r="KJM9" s="7"/>
      <c r="KJT9" s="7"/>
      <c r="KKA9" s="7"/>
      <c r="KKH9" s="7"/>
      <c r="KKO9" s="7"/>
      <c r="KKV9" s="7"/>
      <c r="KLC9" s="7"/>
      <c r="KLJ9" s="7"/>
      <c r="KLQ9" s="7"/>
      <c r="KLX9" s="7"/>
      <c r="KME9" s="7"/>
      <c r="KML9" s="7"/>
      <c r="KMS9" s="7"/>
      <c r="KMZ9" s="7"/>
      <c r="KNG9" s="7"/>
      <c r="KNN9" s="7"/>
      <c r="KNU9" s="7"/>
      <c r="KOB9" s="7"/>
      <c r="KOI9" s="7"/>
      <c r="KOP9" s="7"/>
      <c r="KOW9" s="7"/>
      <c r="KPD9" s="7"/>
      <c r="KPK9" s="7"/>
      <c r="KPR9" s="7"/>
      <c r="KPY9" s="7"/>
      <c r="KQF9" s="7"/>
      <c r="KQM9" s="7"/>
      <c r="KQT9" s="7"/>
      <c r="KRA9" s="7"/>
      <c r="KRH9" s="7"/>
      <c r="KRO9" s="7"/>
      <c r="KRV9" s="7"/>
      <c r="KSC9" s="7"/>
      <c r="KSJ9" s="7"/>
      <c r="KSQ9" s="7"/>
      <c r="KSX9" s="7"/>
      <c r="KTE9" s="7"/>
      <c r="KTL9" s="7"/>
      <c r="KTS9" s="7"/>
      <c r="KTZ9" s="7"/>
      <c r="KUG9" s="7"/>
      <c r="KUN9" s="7"/>
      <c r="KUU9" s="7"/>
      <c r="KVB9" s="7"/>
      <c r="KVI9" s="7"/>
      <c r="KVP9" s="7"/>
      <c r="KVW9" s="7"/>
      <c r="KWD9" s="7"/>
      <c r="KWK9" s="7"/>
      <c r="KWR9" s="7"/>
      <c r="KWY9" s="7"/>
      <c r="KXF9" s="7"/>
      <c r="KXM9" s="7"/>
      <c r="KXT9" s="7"/>
      <c r="KYA9" s="7"/>
      <c r="KYH9" s="7"/>
      <c r="KYO9" s="7"/>
      <c r="KYV9" s="7"/>
      <c r="KZC9" s="7"/>
      <c r="KZJ9" s="7"/>
      <c r="KZQ9" s="7"/>
      <c r="KZX9" s="7"/>
      <c r="LAE9" s="7"/>
      <c r="LAL9" s="7"/>
      <c r="LAS9" s="7"/>
      <c r="LAZ9" s="7"/>
      <c r="LBG9" s="7"/>
      <c r="LBN9" s="7"/>
      <c r="LBU9" s="7"/>
      <c r="LCB9" s="7"/>
      <c r="LCI9" s="7"/>
      <c r="LCP9" s="7"/>
      <c r="LCW9" s="7"/>
      <c r="LDD9" s="7"/>
      <c r="LDK9" s="7"/>
      <c r="LDR9" s="7"/>
      <c r="LDY9" s="7"/>
      <c r="LEF9" s="7"/>
      <c r="LEM9" s="7"/>
      <c r="LET9" s="7"/>
      <c r="LFA9" s="7"/>
      <c r="LFH9" s="7"/>
      <c r="LFO9" s="7"/>
      <c r="LFV9" s="7"/>
      <c r="LGC9" s="7"/>
      <c r="LGJ9" s="7"/>
      <c r="LGQ9" s="7"/>
      <c r="LGX9" s="7"/>
      <c r="LHE9" s="7"/>
      <c r="LHL9" s="7"/>
      <c r="LHS9" s="7"/>
      <c r="LHZ9" s="7"/>
      <c r="LIG9" s="7"/>
      <c r="LIN9" s="7"/>
      <c r="LIU9" s="7"/>
      <c r="LJB9" s="7"/>
      <c r="LJI9" s="7"/>
      <c r="LJP9" s="7"/>
      <c r="LJW9" s="7"/>
      <c r="LKD9" s="7"/>
      <c r="LKK9" s="7"/>
      <c r="LKR9" s="7"/>
      <c r="LKY9" s="7"/>
      <c r="LLF9" s="7"/>
      <c r="LLM9" s="7"/>
      <c r="LLT9" s="7"/>
      <c r="LMA9" s="7"/>
      <c r="LMH9" s="7"/>
      <c r="LMO9" s="7"/>
      <c r="LMV9" s="7"/>
      <c r="LNC9" s="7"/>
      <c r="LNJ9" s="7"/>
      <c r="LNQ9" s="7"/>
      <c r="LNX9" s="7"/>
      <c r="LOE9" s="7"/>
      <c r="LOL9" s="7"/>
      <c r="LOS9" s="7"/>
      <c r="LOZ9" s="7"/>
      <c r="LPG9" s="7"/>
      <c r="LPN9" s="7"/>
      <c r="LPU9" s="7"/>
      <c r="LQB9" s="7"/>
      <c r="LQI9" s="7"/>
      <c r="LQP9" s="7"/>
      <c r="LQW9" s="7"/>
      <c r="LRD9" s="7"/>
      <c r="LRK9" s="7"/>
      <c r="LRR9" s="7"/>
      <c r="LRY9" s="7"/>
      <c r="LSF9" s="7"/>
      <c r="LSM9" s="7"/>
      <c r="LST9" s="7"/>
      <c r="LTA9" s="7"/>
      <c r="LTH9" s="7"/>
      <c r="LTO9" s="7"/>
      <c r="LTV9" s="7"/>
      <c r="LUC9" s="7"/>
      <c r="LUJ9" s="7"/>
      <c r="LUQ9" s="7"/>
      <c r="LUX9" s="7"/>
      <c r="LVE9" s="7"/>
      <c r="LVL9" s="7"/>
      <c r="LVS9" s="7"/>
      <c r="LVZ9" s="7"/>
      <c r="LWG9" s="7"/>
      <c r="LWN9" s="7"/>
      <c r="LWU9" s="7"/>
      <c r="LXB9" s="7"/>
      <c r="LXI9" s="7"/>
      <c r="LXP9" s="7"/>
      <c r="LXW9" s="7"/>
      <c r="LYD9" s="7"/>
      <c r="LYK9" s="7"/>
      <c r="LYR9" s="7"/>
      <c r="LYY9" s="7"/>
      <c r="LZF9" s="7"/>
      <c r="LZM9" s="7"/>
      <c r="LZT9" s="7"/>
      <c r="MAA9" s="7"/>
      <c r="MAH9" s="7"/>
      <c r="MAO9" s="7"/>
      <c r="MAV9" s="7"/>
      <c r="MBC9" s="7"/>
      <c r="MBJ9" s="7"/>
      <c r="MBQ9" s="7"/>
      <c r="MBX9" s="7"/>
      <c r="MCE9" s="7"/>
      <c r="MCL9" s="7"/>
      <c r="MCS9" s="7"/>
      <c r="MCZ9" s="7"/>
      <c r="MDG9" s="7"/>
      <c r="MDN9" s="7"/>
      <c r="MDU9" s="7"/>
      <c r="MEB9" s="7"/>
      <c r="MEI9" s="7"/>
      <c r="MEP9" s="7"/>
      <c r="MEW9" s="7"/>
      <c r="MFD9" s="7"/>
      <c r="MFK9" s="7"/>
      <c r="MFR9" s="7"/>
      <c r="MFY9" s="7"/>
      <c r="MGF9" s="7"/>
      <c r="MGM9" s="7"/>
      <c r="MGT9" s="7"/>
      <c r="MHA9" s="7"/>
      <c r="MHH9" s="7"/>
      <c r="MHO9" s="7"/>
      <c r="MHV9" s="7"/>
      <c r="MIC9" s="7"/>
      <c r="MIJ9" s="7"/>
      <c r="MIQ9" s="7"/>
      <c r="MIX9" s="7"/>
      <c r="MJE9" s="7"/>
      <c r="MJL9" s="7"/>
      <c r="MJS9" s="7"/>
      <c r="MJZ9" s="7"/>
      <c r="MKG9" s="7"/>
      <c r="MKN9" s="7"/>
      <c r="MKU9" s="7"/>
      <c r="MLB9" s="7"/>
      <c r="MLI9" s="7"/>
      <c r="MLP9" s="7"/>
      <c r="MLW9" s="7"/>
      <c r="MMD9" s="7"/>
      <c r="MMK9" s="7"/>
      <c r="MMR9" s="7"/>
      <c r="MMY9" s="7"/>
      <c r="MNF9" s="7"/>
      <c r="MNM9" s="7"/>
      <c r="MNT9" s="7"/>
      <c r="MOA9" s="7"/>
      <c r="MOH9" s="7"/>
      <c r="MOO9" s="7"/>
      <c r="MOV9" s="7"/>
      <c r="MPC9" s="7"/>
      <c r="MPJ9" s="7"/>
      <c r="MPQ9" s="7"/>
      <c r="MPX9" s="7"/>
      <c r="MQE9" s="7"/>
      <c r="MQL9" s="7"/>
      <c r="MQS9" s="7"/>
      <c r="MQZ9" s="7"/>
      <c r="MRG9" s="7"/>
      <c r="MRN9" s="7"/>
      <c r="MRU9" s="7"/>
      <c r="MSB9" s="7"/>
      <c r="MSI9" s="7"/>
      <c r="MSP9" s="7"/>
      <c r="MSW9" s="7"/>
      <c r="MTD9" s="7"/>
      <c r="MTK9" s="7"/>
      <c r="MTR9" s="7"/>
      <c r="MTY9" s="7"/>
      <c r="MUF9" s="7"/>
      <c r="MUM9" s="7"/>
      <c r="MUT9" s="7"/>
      <c r="MVA9" s="7"/>
      <c r="MVH9" s="7"/>
      <c r="MVO9" s="7"/>
      <c r="MVV9" s="7"/>
      <c r="MWC9" s="7"/>
      <c r="MWJ9" s="7"/>
      <c r="MWQ9" s="7"/>
      <c r="MWX9" s="7"/>
      <c r="MXE9" s="7"/>
      <c r="MXL9" s="7"/>
      <c r="MXS9" s="7"/>
      <c r="MXZ9" s="7"/>
      <c r="MYG9" s="7"/>
      <c r="MYN9" s="7"/>
      <c r="MYU9" s="7"/>
      <c r="MZB9" s="7"/>
      <c r="MZI9" s="7"/>
      <c r="MZP9" s="7"/>
      <c r="MZW9" s="7"/>
      <c r="NAD9" s="7"/>
      <c r="NAK9" s="7"/>
      <c r="NAR9" s="7"/>
      <c r="NAY9" s="7"/>
      <c r="NBF9" s="7"/>
      <c r="NBM9" s="7"/>
      <c r="NBT9" s="7"/>
      <c r="NCA9" s="7"/>
      <c r="NCH9" s="7"/>
      <c r="NCO9" s="7"/>
      <c r="NCV9" s="7"/>
      <c r="NDC9" s="7"/>
      <c r="NDJ9" s="7"/>
      <c r="NDQ9" s="7"/>
      <c r="NDX9" s="7"/>
      <c r="NEE9" s="7"/>
      <c r="NEL9" s="7"/>
      <c r="NES9" s="7"/>
      <c r="NEZ9" s="7"/>
      <c r="NFG9" s="7"/>
      <c r="NFN9" s="7"/>
      <c r="NFU9" s="7"/>
      <c r="NGB9" s="7"/>
      <c r="NGI9" s="7"/>
      <c r="NGP9" s="7"/>
      <c r="NGW9" s="7"/>
      <c r="NHD9" s="7"/>
      <c r="NHK9" s="7"/>
      <c r="NHR9" s="7"/>
      <c r="NHY9" s="7"/>
      <c r="NIF9" s="7"/>
      <c r="NIM9" s="7"/>
      <c r="NIT9" s="7"/>
      <c r="NJA9" s="7"/>
      <c r="NJH9" s="7"/>
      <c r="NJO9" s="7"/>
      <c r="NJV9" s="7"/>
      <c r="NKC9" s="7"/>
      <c r="NKJ9" s="7"/>
      <c r="NKQ9" s="7"/>
      <c r="NKX9" s="7"/>
      <c r="NLE9" s="7"/>
      <c r="NLL9" s="7"/>
      <c r="NLS9" s="7"/>
      <c r="NLZ9" s="7"/>
      <c r="NMG9" s="7"/>
      <c r="NMN9" s="7"/>
      <c r="NMU9" s="7"/>
      <c r="NNB9" s="7"/>
      <c r="NNI9" s="7"/>
      <c r="NNP9" s="7"/>
      <c r="NNW9" s="7"/>
      <c r="NOD9" s="7"/>
      <c r="NOK9" s="7"/>
      <c r="NOR9" s="7"/>
      <c r="NOY9" s="7"/>
      <c r="NPF9" s="7"/>
      <c r="NPM9" s="7"/>
      <c r="NPT9" s="7"/>
      <c r="NQA9" s="7"/>
      <c r="NQH9" s="7"/>
      <c r="NQO9" s="7"/>
      <c r="NQV9" s="7"/>
      <c r="NRC9" s="7"/>
      <c r="NRJ9" s="7"/>
      <c r="NRQ9" s="7"/>
      <c r="NRX9" s="7"/>
      <c r="NSE9" s="7"/>
      <c r="NSL9" s="7"/>
      <c r="NSS9" s="7"/>
      <c r="NSZ9" s="7"/>
      <c r="NTG9" s="7"/>
      <c r="NTN9" s="7"/>
      <c r="NTU9" s="7"/>
      <c r="NUB9" s="7"/>
      <c r="NUI9" s="7"/>
      <c r="NUP9" s="7"/>
      <c r="NUW9" s="7"/>
      <c r="NVD9" s="7"/>
      <c r="NVK9" s="7"/>
      <c r="NVR9" s="7"/>
      <c r="NVY9" s="7"/>
      <c r="NWF9" s="7"/>
      <c r="NWM9" s="7"/>
      <c r="NWT9" s="7"/>
      <c r="NXA9" s="7"/>
      <c r="NXH9" s="7"/>
      <c r="NXO9" s="7"/>
      <c r="NXV9" s="7"/>
      <c r="NYC9" s="7"/>
      <c r="NYJ9" s="7"/>
      <c r="NYQ9" s="7"/>
      <c r="NYX9" s="7"/>
      <c r="NZE9" s="7"/>
      <c r="NZL9" s="7"/>
      <c r="NZS9" s="7"/>
      <c r="NZZ9" s="7"/>
      <c r="OAG9" s="7"/>
      <c r="OAN9" s="7"/>
      <c r="OAU9" s="7"/>
      <c r="OBB9" s="7"/>
      <c r="OBI9" s="7"/>
      <c r="OBP9" s="7"/>
      <c r="OBW9" s="7"/>
      <c r="OCD9" s="7"/>
      <c r="OCK9" s="7"/>
      <c r="OCR9" s="7"/>
      <c r="OCY9" s="7"/>
      <c r="ODF9" s="7"/>
      <c r="ODM9" s="7"/>
      <c r="ODT9" s="7"/>
      <c r="OEA9" s="7"/>
      <c r="OEH9" s="7"/>
      <c r="OEO9" s="7"/>
      <c r="OEV9" s="7"/>
      <c r="OFC9" s="7"/>
      <c r="OFJ9" s="7"/>
      <c r="OFQ9" s="7"/>
      <c r="OFX9" s="7"/>
      <c r="OGE9" s="7"/>
      <c r="OGL9" s="7"/>
      <c r="OGS9" s="7"/>
      <c r="OGZ9" s="7"/>
      <c r="OHG9" s="7"/>
      <c r="OHN9" s="7"/>
      <c r="OHU9" s="7"/>
      <c r="OIB9" s="7"/>
      <c r="OII9" s="7"/>
      <c r="OIP9" s="7"/>
      <c r="OIW9" s="7"/>
      <c r="OJD9" s="7"/>
      <c r="OJK9" s="7"/>
      <c r="OJR9" s="7"/>
      <c r="OJY9" s="7"/>
      <c r="OKF9" s="7"/>
      <c r="OKM9" s="7"/>
      <c r="OKT9" s="7"/>
      <c r="OLA9" s="7"/>
      <c r="OLH9" s="7"/>
      <c r="OLO9" s="7"/>
      <c r="OLV9" s="7"/>
      <c r="OMC9" s="7"/>
      <c r="OMJ9" s="7"/>
      <c r="OMQ9" s="7"/>
      <c r="OMX9" s="7"/>
      <c r="ONE9" s="7"/>
      <c r="ONL9" s="7"/>
      <c r="ONS9" s="7"/>
      <c r="ONZ9" s="7"/>
      <c r="OOG9" s="7"/>
      <c r="OON9" s="7"/>
      <c r="OOU9" s="7"/>
      <c r="OPB9" s="7"/>
      <c r="OPI9" s="7"/>
      <c r="OPP9" s="7"/>
      <c r="OPW9" s="7"/>
      <c r="OQD9" s="7"/>
      <c r="OQK9" s="7"/>
      <c r="OQR9" s="7"/>
      <c r="OQY9" s="7"/>
      <c r="ORF9" s="7"/>
      <c r="ORM9" s="7"/>
      <c r="ORT9" s="7"/>
      <c r="OSA9" s="7"/>
      <c r="OSH9" s="7"/>
      <c r="OSO9" s="7"/>
      <c r="OSV9" s="7"/>
      <c r="OTC9" s="7"/>
      <c r="OTJ9" s="7"/>
      <c r="OTQ9" s="7"/>
      <c r="OTX9" s="7"/>
      <c r="OUE9" s="7"/>
      <c r="OUL9" s="7"/>
      <c r="OUS9" s="7"/>
      <c r="OUZ9" s="7"/>
      <c r="OVG9" s="7"/>
      <c r="OVN9" s="7"/>
      <c r="OVU9" s="7"/>
      <c r="OWB9" s="7"/>
      <c r="OWI9" s="7"/>
      <c r="OWP9" s="7"/>
      <c r="OWW9" s="7"/>
      <c r="OXD9" s="7"/>
      <c r="OXK9" s="7"/>
      <c r="OXR9" s="7"/>
      <c r="OXY9" s="7"/>
      <c r="OYF9" s="7"/>
      <c r="OYM9" s="7"/>
      <c r="OYT9" s="7"/>
      <c r="OZA9" s="7"/>
      <c r="OZH9" s="7"/>
      <c r="OZO9" s="7"/>
      <c r="OZV9" s="7"/>
      <c r="PAC9" s="7"/>
      <c r="PAJ9" s="7"/>
      <c r="PAQ9" s="7"/>
      <c r="PAX9" s="7"/>
      <c r="PBE9" s="7"/>
      <c r="PBL9" s="7"/>
      <c r="PBS9" s="7"/>
      <c r="PBZ9" s="7"/>
      <c r="PCG9" s="7"/>
      <c r="PCN9" s="7"/>
      <c r="PCU9" s="7"/>
      <c r="PDB9" s="7"/>
      <c r="PDI9" s="7"/>
      <c r="PDP9" s="7"/>
      <c r="PDW9" s="7"/>
      <c r="PED9" s="7"/>
      <c r="PEK9" s="7"/>
      <c r="PER9" s="7"/>
      <c r="PEY9" s="7"/>
      <c r="PFF9" s="7"/>
      <c r="PFM9" s="7"/>
      <c r="PFT9" s="7"/>
      <c r="PGA9" s="7"/>
      <c r="PGH9" s="7"/>
      <c r="PGO9" s="7"/>
      <c r="PGV9" s="7"/>
      <c r="PHC9" s="7"/>
      <c r="PHJ9" s="7"/>
      <c r="PHQ9" s="7"/>
      <c r="PHX9" s="7"/>
      <c r="PIE9" s="7"/>
      <c r="PIL9" s="7"/>
      <c r="PIS9" s="7"/>
      <c r="PIZ9" s="7"/>
      <c r="PJG9" s="7"/>
      <c r="PJN9" s="7"/>
      <c r="PJU9" s="7"/>
      <c r="PKB9" s="7"/>
      <c r="PKI9" s="7"/>
      <c r="PKP9" s="7"/>
      <c r="PKW9" s="7"/>
      <c r="PLD9" s="7"/>
      <c r="PLK9" s="7"/>
      <c r="PLR9" s="7"/>
      <c r="PLY9" s="7"/>
      <c r="PMF9" s="7"/>
      <c r="PMM9" s="7"/>
      <c r="PMT9" s="7"/>
      <c r="PNA9" s="7"/>
      <c r="PNH9" s="7"/>
      <c r="PNO9" s="7"/>
      <c r="PNV9" s="7"/>
      <c r="POC9" s="7"/>
      <c r="POJ9" s="7"/>
      <c r="POQ9" s="7"/>
      <c r="POX9" s="7"/>
      <c r="PPE9" s="7"/>
      <c r="PPL9" s="7"/>
      <c r="PPS9" s="7"/>
      <c r="PPZ9" s="7"/>
      <c r="PQG9" s="7"/>
      <c r="PQN9" s="7"/>
      <c r="PQU9" s="7"/>
      <c r="PRB9" s="7"/>
      <c r="PRI9" s="7"/>
      <c r="PRP9" s="7"/>
      <c r="PRW9" s="7"/>
      <c r="PSD9" s="7"/>
      <c r="PSK9" s="7"/>
      <c r="PSR9" s="7"/>
      <c r="PSY9" s="7"/>
      <c r="PTF9" s="7"/>
      <c r="PTM9" s="7"/>
      <c r="PTT9" s="7"/>
      <c r="PUA9" s="7"/>
      <c r="PUH9" s="7"/>
      <c r="PUO9" s="7"/>
      <c r="PUV9" s="7"/>
      <c r="PVC9" s="7"/>
      <c r="PVJ9" s="7"/>
      <c r="PVQ9" s="7"/>
      <c r="PVX9" s="7"/>
      <c r="PWE9" s="7"/>
      <c r="PWL9" s="7"/>
      <c r="PWS9" s="7"/>
      <c r="PWZ9" s="7"/>
      <c r="PXG9" s="7"/>
      <c r="PXN9" s="7"/>
      <c r="PXU9" s="7"/>
      <c r="PYB9" s="7"/>
      <c r="PYI9" s="7"/>
      <c r="PYP9" s="7"/>
      <c r="PYW9" s="7"/>
      <c r="PZD9" s="7"/>
      <c r="PZK9" s="7"/>
      <c r="PZR9" s="7"/>
      <c r="PZY9" s="7"/>
      <c r="QAF9" s="7"/>
      <c r="QAM9" s="7"/>
      <c r="QAT9" s="7"/>
      <c r="QBA9" s="7"/>
      <c r="QBH9" s="7"/>
      <c r="QBO9" s="7"/>
      <c r="QBV9" s="7"/>
      <c r="QCC9" s="7"/>
      <c r="QCJ9" s="7"/>
      <c r="QCQ9" s="7"/>
      <c r="QCX9" s="7"/>
      <c r="QDE9" s="7"/>
      <c r="QDL9" s="7"/>
      <c r="QDS9" s="7"/>
      <c r="QDZ9" s="7"/>
      <c r="QEG9" s="7"/>
      <c r="QEN9" s="7"/>
      <c r="QEU9" s="7"/>
      <c r="QFB9" s="7"/>
      <c r="QFI9" s="7"/>
      <c r="QFP9" s="7"/>
      <c r="QFW9" s="7"/>
      <c r="QGD9" s="7"/>
      <c r="QGK9" s="7"/>
      <c r="QGR9" s="7"/>
      <c r="QGY9" s="7"/>
      <c r="QHF9" s="7"/>
      <c r="QHM9" s="7"/>
      <c r="QHT9" s="7"/>
      <c r="QIA9" s="7"/>
      <c r="QIH9" s="7"/>
      <c r="QIO9" s="7"/>
      <c r="QIV9" s="7"/>
      <c r="QJC9" s="7"/>
      <c r="QJJ9" s="7"/>
      <c r="QJQ9" s="7"/>
      <c r="QJX9" s="7"/>
      <c r="QKE9" s="7"/>
      <c r="QKL9" s="7"/>
      <c r="QKS9" s="7"/>
      <c r="QKZ9" s="7"/>
      <c r="QLG9" s="7"/>
      <c r="QLN9" s="7"/>
      <c r="QLU9" s="7"/>
      <c r="QMB9" s="7"/>
      <c r="QMI9" s="7"/>
      <c r="QMP9" s="7"/>
      <c r="QMW9" s="7"/>
      <c r="QND9" s="7"/>
      <c r="QNK9" s="7"/>
      <c r="QNR9" s="7"/>
      <c r="QNY9" s="7"/>
      <c r="QOF9" s="7"/>
      <c r="QOM9" s="7"/>
      <c r="QOT9" s="7"/>
      <c r="QPA9" s="7"/>
      <c r="QPH9" s="7"/>
      <c r="QPO9" s="7"/>
      <c r="QPV9" s="7"/>
      <c r="QQC9" s="7"/>
      <c r="QQJ9" s="7"/>
      <c r="QQQ9" s="7"/>
      <c r="QQX9" s="7"/>
      <c r="QRE9" s="7"/>
      <c r="QRL9" s="7"/>
      <c r="QRS9" s="7"/>
      <c r="QRZ9" s="7"/>
      <c r="QSG9" s="7"/>
      <c r="QSN9" s="7"/>
      <c r="QSU9" s="7"/>
      <c r="QTB9" s="7"/>
      <c r="QTI9" s="7"/>
      <c r="QTP9" s="7"/>
      <c r="QTW9" s="7"/>
      <c r="QUD9" s="7"/>
      <c r="QUK9" s="7"/>
      <c r="QUR9" s="7"/>
      <c r="QUY9" s="7"/>
      <c r="QVF9" s="7"/>
      <c r="QVM9" s="7"/>
      <c r="QVT9" s="7"/>
      <c r="QWA9" s="7"/>
      <c r="QWH9" s="7"/>
      <c r="QWO9" s="7"/>
      <c r="QWV9" s="7"/>
      <c r="QXC9" s="7"/>
      <c r="QXJ9" s="7"/>
      <c r="QXQ9" s="7"/>
      <c r="QXX9" s="7"/>
      <c r="QYE9" s="7"/>
      <c r="QYL9" s="7"/>
      <c r="QYS9" s="7"/>
      <c r="QYZ9" s="7"/>
      <c r="QZG9" s="7"/>
      <c r="QZN9" s="7"/>
      <c r="QZU9" s="7"/>
      <c r="RAB9" s="7"/>
      <c r="RAI9" s="7"/>
      <c r="RAP9" s="7"/>
      <c r="RAW9" s="7"/>
      <c r="RBD9" s="7"/>
      <c r="RBK9" s="7"/>
      <c r="RBR9" s="7"/>
      <c r="RBY9" s="7"/>
      <c r="RCF9" s="7"/>
      <c r="RCM9" s="7"/>
      <c r="RCT9" s="7"/>
      <c r="RDA9" s="7"/>
      <c r="RDH9" s="7"/>
      <c r="RDO9" s="7"/>
      <c r="RDV9" s="7"/>
      <c r="REC9" s="7"/>
      <c r="REJ9" s="7"/>
      <c r="REQ9" s="7"/>
      <c r="REX9" s="7"/>
      <c r="RFE9" s="7"/>
      <c r="RFL9" s="7"/>
      <c r="RFS9" s="7"/>
      <c r="RFZ9" s="7"/>
      <c r="RGG9" s="7"/>
      <c r="RGN9" s="7"/>
      <c r="RGU9" s="7"/>
      <c r="RHB9" s="7"/>
      <c r="RHI9" s="7"/>
      <c r="RHP9" s="7"/>
      <c r="RHW9" s="7"/>
      <c r="RID9" s="7"/>
      <c r="RIK9" s="7"/>
      <c r="RIR9" s="7"/>
      <c r="RIY9" s="7"/>
      <c r="RJF9" s="7"/>
      <c r="RJM9" s="7"/>
      <c r="RJT9" s="7"/>
      <c r="RKA9" s="7"/>
      <c r="RKH9" s="7"/>
      <c r="RKO9" s="7"/>
      <c r="RKV9" s="7"/>
      <c r="RLC9" s="7"/>
      <c r="RLJ9" s="7"/>
      <c r="RLQ9" s="7"/>
      <c r="RLX9" s="7"/>
      <c r="RME9" s="7"/>
      <c r="RML9" s="7"/>
      <c r="RMS9" s="7"/>
      <c r="RMZ9" s="7"/>
      <c r="RNG9" s="7"/>
      <c r="RNN9" s="7"/>
      <c r="RNU9" s="7"/>
      <c r="ROB9" s="7"/>
      <c r="ROI9" s="7"/>
      <c r="ROP9" s="7"/>
      <c r="ROW9" s="7"/>
      <c r="RPD9" s="7"/>
      <c r="RPK9" s="7"/>
      <c r="RPR9" s="7"/>
      <c r="RPY9" s="7"/>
      <c r="RQF9" s="7"/>
      <c r="RQM9" s="7"/>
      <c r="RQT9" s="7"/>
      <c r="RRA9" s="7"/>
      <c r="RRH9" s="7"/>
      <c r="RRO9" s="7"/>
      <c r="RRV9" s="7"/>
      <c r="RSC9" s="7"/>
      <c r="RSJ9" s="7"/>
      <c r="RSQ9" s="7"/>
      <c r="RSX9" s="7"/>
      <c r="RTE9" s="7"/>
      <c r="RTL9" s="7"/>
      <c r="RTS9" s="7"/>
      <c r="RTZ9" s="7"/>
      <c r="RUG9" s="7"/>
      <c r="RUN9" s="7"/>
      <c r="RUU9" s="7"/>
      <c r="RVB9" s="7"/>
      <c r="RVI9" s="7"/>
      <c r="RVP9" s="7"/>
      <c r="RVW9" s="7"/>
      <c r="RWD9" s="7"/>
      <c r="RWK9" s="7"/>
      <c r="RWR9" s="7"/>
      <c r="RWY9" s="7"/>
      <c r="RXF9" s="7"/>
      <c r="RXM9" s="7"/>
      <c r="RXT9" s="7"/>
      <c r="RYA9" s="7"/>
      <c r="RYH9" s="7"/>
      <c r="RYO9" s="7"/>
      <c r="RYV9" s="7"/>
      <c r="RZC9" s="7"/>
      <c r="RZJ9" s="7"/>
      <c r="RZQ9" s="7"/>
      <c r="RZX9" s="7"/>
      <c r="SAE9" s="7"/>
      <c r="SAL9" s="7"/>
      <c r="SAS9" s="7"/>
      <c r="SAZ9" s="7"/>
      <c r="SBG9" s="7"/>
      <c r="SBN9" s="7"/>
      <c r="SBU9" s="7"/>
      <c r="SCB9" s="7"/>
      <c r="SCI9" s="7"/>
      <c r="SCP9" s="7"/>
      <c r="SCW9" s="7"/>
      <c r="SDD9" s="7"/>
      <c r="SDK9" s="7"/>
      <c r="SDR9" s="7"/>
      <c r="SDY9" s="7"/>
      <c r="SEF9" s="7"/>
      <c r="SEM9" s="7"/>
      <c r="SET9" s="7"/>
      <c r="SFA9" s="7"/>
      <c r="SFH9" s="7"/>
      <c r="SFO9" s="7"/>
      <c r="SFV9" s="7"/>
      <c r="SGC9" s="7"/>
      <c r="SGJ9" s="7"/>
      <c r="SGQ9" s="7"/>
      <c r="SGX9" s="7"/>
      <c r="SHE9" s="7"/>
      <c r="SHL9" s="7"/>
      <c r="SHS9" s="7"/>
      <c r="SHZ9" s="7"/>
      <c r="SIG9" s="7"/>
      <c r="SIN9" s="7"/>
      <c r="SIU9" s="7"/>
      <c r="SJB9" s="7"/>
      <c r="SJI9" s="7"/>
      <c r="SJP9" s="7"/>
      <c r="SJW9" s="7"/>
      <c r="SKD9" s="7"/>
      <c r="SKK9" s="7"/>
      <c r="SKR9" s="7"/>
      <c r="SKY9" s="7"/>
      <c r="SLF9" s="7"/>
      <c r="SLM9" s="7"/>
      <c r="SLT9" s="7"/>
      <c r="SMA9" s="7"/>
      <c r="SMH9" s="7"/>
      <c r="SMO9" s="7"/>
      <c r="SMV9" s="7"/>
      <c r="SNC9" s="7"/>
      <c r="SNJ9" s="7"/>
      <c r="SNQ9" s="7"/>
      <c r="SNX9" s="7"/>
      <c r="SOE9" s="7"/>
      <c r="SOL9" s="7"/>
      <c r="SOS9" s="7"/>
      <c r="SOZ9" s="7"/>
      <c r="SPG9" s="7"/>
      <c r="SPN9" s="7"/>
      <c r="SPU9" s="7"/>
      <c r="SQB9" s="7"/>
      <c r="SQI9" s="7"/>
      <c r="SQP9" s="7"/>
      <c r="SQW9" s="7"/>
      <c r="SRD9" s="7"/>
      <c r="SRK9" s="7"/>
      <c r="SRR9" s="7"/>
      <c r="SRY9" s="7"/>
      <c r="SSF9" s="7"/>
      <c r="SSM9" s="7"/>
      <c r="SST9" s="7"/>
      <c r="STA9" s="7"/>
      <c r="STH9" s="7"/>
      <c r="STO9" s="7"/>
      <c r="STV9" s="7"/>
      <c r="SUC9" s="7"/>
      <c r="SUJ9" s="7"/>
      <c r="SUQ9" s="7"/>
      <c r="SUX9" s="7"/>
      <c r="SVE9" s="7"/>
      <c r="SVL9" s="7"/>
      <c r="SVS9" s="7"/>
      <c r="SVZ9" s="7"/>
      <c r="SWG9" s="7"/>
      <c r="SWN9" s="7"/>
      <c r="SWU9" s="7"/>
      <c r="SXB9" s="7"/>
      <c r="SXI9" s="7"/>
      <c r="SXP9" s="7"/>
      <c r="SXW9" s="7"/>
      <c r="SYD9" s="7"/>
      <c r="SYK9" s="7"/>
      <c r="SYR9" s="7"/>
      <c r="SYY9" s="7"/>
      <c r="SZF9" s="7"/>
      <c r="SZM9" s="7"/>
      <c r="SZT9" s="7"/>
      <c r="TAA9" s="7"/>
      <c r="TAH9" s="7"/>
      <c r="TAO9" s="7"/>
      <c r="TAV9" s="7"/>
      <c r="TBC9" s="7"/>
      <c r="TBJ9" s="7"/>
      <c r="TBQ9" s="7"/>
      <c r="TBX9" s="7"/>
      <c r="TCE9" s="7"/>
      <c r="TCL9" s="7"/>
      <c r="TCS9" s="7"/>
      <c r="TCZ9" s="7"/>
      <c r="TDG9" s="7"/>
      <c r="TDN9" s="7"/>
      <c r="TDU9" s="7"/>
      <c r="TEB9" s="7"/>
      <c r="TEI9" s="7"/>
      <c r="TEP9" s="7"/>
      <c r="TEW9" s="7"/>
      <c r="TFD9" s="7"/>
      <c r="TFK9" s="7"/>
      <c r="TFR9" s="7"/>
      <c r="TFY9" s="7"/>
      <c r="TGF9" s="7"/>
      <c r="TGM9" s="7"/>
      <c r="TGT9" s="7"/>
      <c r="THA9" s="7"/>
      <c r="THH9" s="7"/>
      <c r="THO9" s="7"/>
      <c r="THV9" s="7"/>
      <c r="TIC9" s="7"/>
      <c r="TIJ9" s="7"/>
      <c r="TIQ9" s="7"/>
      <c r="TIX9" s="7"/>
      <c r="TJE9" s="7"/>
      <c r="TJL9" s="7"/>
      <c r="TJS9" s="7"/>
      <c r="TJZ9" s="7"/>
      <c r="TKG9" s="7"/>
      <c r="TKN9" s="7"/>
      <c r="TKU9" s="7"/>
      <c r="TLB9" s="7"/>
      <c r="TLI9" s="7"/>
      <c r="TLP9" s="7"/>
      <c r="TLW9" s="7"/>
      <c r="TMD9" s="7"/>
      <c r="TMK9" s="7"/>
      <c r="TMR9" s="7"/>
      <c r="TMY9" s="7"/>
      <c r="TNF9" s="7"/>
      <c r="TNM9" s="7"/>
      <c r="TNT9" s="7"/>
      <c r="TOA9" s="7"/>
      <c r="TOH9" s="7"/>
      <c r="TOO9" s="7"/>
      <c r="TOV9" s="7"/>
      <c r="TPC9" s="7"/>
      <c r="TPJ9" s="7"/>
      <c r="TPQ9" s="7"/>
      <c r="TPX9" s="7"/>
      <c r="TQE9" s="7"/>
      <c r="TQL9" s="7"/>
      <c r="TQS9" s="7"/>
      <c r="TQZ9" s="7"/>
      <c r="TRG9" s="7"/>
      <c r="TRN9" s="7"/>
      <c r="TRU9" s="7"/>
      <c r="TSB9" s="7"/>
      <c r="TSI9" s="7"/>
      <c r="TSP9" s="7"/>
      <c r="TSW9" s="7"/>
      <c r="TTD9" s="7"/>
      <c r="TTK9" s="7"/>
      <c r="TTR9" s="7"/>
      <c r="TTY9" s="7"/>
      <c r="TUF9" s="7"/>
      <c r="TUM9" s="7"/>
      <c r="TUT9" s="7"/>
      <c r="TVA9" s="7"/>
      <c r="TVH9" s="7"/>
      <c r="TVO9" s="7"/>
      <c r="TVV9" s="7"/>
      <c r="TWC9" s="7"/>
      <c r="TWJ9" s="7"/>
      <c r="TWQ9" s="7"/>
      <c r="TWX9" s="7"/>
      <c r="TXE9" s="7"/>
      <c r="TXL9" s="7"/>
      <c r="TXS9" s="7"/>
      <c r="TXZ9" s="7"/>
      <c r="TYG9" s="7"/>
      <c r="TYN9" s="7"/>
      <c r="TYU9" s="7"/>
      <c r="TZB9" s="7"/>
      <c r="TZI9" s="7"/>
      <c r="TZP9" s="7"/>
      <c r="TZW9" s="7"/>
      <c r="UAD9" s="7"/>
      <c r="UAK9" s="7"/>
      <c r="UAR9" s="7"/>
      <c r="UAY9" s="7"/>
      <c r="UBF9" s="7"/>
      <c r="UBM9" s="7"/>
      <c r="UBT9" s="7"/>
      <c r="UCA9" s="7"/>
      <c r="UCH9" s="7"/>
      <c r="UCO9" s="7"/>
      <c r="UCV9" s="7"/>
      <c r="UDC9" s="7"/>
      <c r="UDJ9" s="7"/>
      <c r="UDQ9" s="7"/>
      <c r="UDX9" s="7"/>
      <c r="UEE9" s="7"/>
      <c r="UEL9" s="7"/>
      <c r="UES9" s="7"/>
      <c r="UEZ9" s="7"/>
      <c r="UFG9" s="7"/>
      <c r="UFN9" s="7"/>
      <c r="UFU9" s="7"/>
      <c r="UGB9" s="7"/>
      <c r="UGI9" s="7"/>
      <c r="UGP9" s="7"/>
      <c r="UGW9" s="7"/>
      <c r="UHD9" s="7"/>
      <c r="UHK9" s="7"/>
      <c r="UHR9" s="7"/>
      <c r="UHY9" s="7"/>
      <c r="UIF9" s="7"/>
      <c r="UIM9" s="7"/>
      <c r="UIT9" s="7"/>
      <c r="UJA9" s="7"/>
      <c r="UJH9" s="7"/>
      <c r="UJO9" s="7"/>
      <c r="UJV9" s="7"/>
      <c r="UKC9" s="7"/>
      <c r="UKJ9" s="7"/>
      <c r="UKQ9" s="7"/>
      <c r="UKX9" s="7"/>
      <c r="ULE9" s="7"/>
      <c r="ULL9" s="7"/>
      <c r="ULS9" s="7"/>
      <c r="ULZ9" s="7"/>
      <c r="UMG9" s="7"/>
      <c r="UMN9" s="7"/>
      <c r="UMU9" s="7"/>
      <c r="UNB9" s="7"/>
      <c r="UNI9" s="7"/>
      <c r="UNP9" s="7"/>
      <c r="UNW9" s="7"/>
      <c r="UOD9" s="7"/>
      <c r="UOK9" s="7"/>
      <c r="UOR9" s="7"/>
      <c r="UOY9" s="7"/>
      <c r="UPF9" s="7"/>
      <c r="UPM9" s="7"/>
      <c r="UPT9" s="7"/>
      <c r="UQA9" s="7"/>
      <c r="UQH9" s="7"/>
      <c r="UQO9" s="7"/>
      <c r="UQV9" s="7"/>
      <c r="URC9" s="7"/>
      <c r="URJ9" s="7"/>
      <c r="URQ9" s="7"/>
      <c r="URX9" s="7"/>
      <c r="USE9" s="7"/>
      <c r="USL9" s="7"/>
      <c r="USS9" s="7"/>
      <c r="USZ9" s="7"/>
      <c r="UTG9" s="7"/>
      <c r="UTN9" s="7"/>
      <c r="UTU9" s="7"/>
      <c r="UUB9" s="7"/>
      <c r="UUI9" s="7"/>
      <c r="UUP9" s="7"/>
      <c r="UUW9" s="7"/>
      <c r="UVD9" s="7"/>
      <c r="UVK9" s="7"/>
      <c r="UVR9" s="7"/>
      <c r="UVY9" s="7"/>
      <c r="UWF9" s="7"/>
      <c r="UWM9" s="7"/>
      <c r="UWT9" s="7"/>
      <c r="UXA9" s="7"/>
      <c r="UXH9" s="7"/>
      <c r="UXO9" s="7"/>
      <c r="UXV9" s="7"/>
      <c r="UYC9" s="7"/>
      <c r="UYJ9" s="7"/>
      <c r="UYQ9" s="7"/>
      <c r="UYX9" s="7"/>
      <c r="UZE9" s="7"/>
      <c r="UZL9" s="7"/>
      <c r="UZS9" s="7"/>
      <c r="UZZ9" s="7"/>
      <c r="VAG9" s="7"/>
      <c r="VAN9" s="7"/>
      <c r="VAU9" s="7"/>
      <c r="VBB9" s="7"/>
      <c r="VBI9" s="7"/>
      <c r="VBP9" s="7"/>
      <c r="VBW9" s="7"/>
      <c r="VCD9" s="7"/>
      <c r="VCK9" s="7"/>
      <c r="VCR9" s="7"/>
      <c r="VCY9" s="7"/>
      <c r="VDF9" s="7"/>
      <c r="VDM9" s="7"/>
      <c r="VDT9" s="7"/>
      <c r="VEA9" s="7"/>
      <c r="VEH9" s="7"/>
      <c r="VEO9" s="7"/>
      <c r="VEV9" s="7"/>
      <c r="VFC9" s="7"/>
      <c r="VFJ9" s="7"/>
      <c r="VFQ9" s="7"/>
      <c r="VFX9" s="7"/>
      <c r="VGE9" s="7"/>
      <c r="VGL9" s="7"/>
      <c r="VGS9" s="7"/>
      <c r="VGZ9" s="7"/>
      <c r="VHG9" s="7"/>
      <c r="VHN9" s="7"/>
      <c r="VHU9" s="7"/>
      <c r="VIB9" s="7"/>
      <c r="VII9" s="7"/>
      <c r="VIP9" s="7"/>
      <c r="VIW9" s="7"/>
      <c r="VJD9" s="7"/>
      <c r="VJK9" s="7"/>
      <c r="VJR9" s="7"/>
      <c r="VJY9" s="7"/>
      <c r="VKF9" s="7"/>
      <c r="VKM9" s="7"/>
      <c r="VKT9" s="7"/>
      <c r="VLA9" s="7"/>
      <c r="VLH9" s="7"/>
      <c r="VLO9" s="7"/>
      <c r="VLV9" s="7"/>
      <c r="VMC9" s="7"/>
      <c r="VMJ9" s="7"/>
      <c r="VMQ9" s="7"/>
      <c r="VMX9" s="7"/>
      <c r="VNE9" s="7"/>
      <c r="VNL9" s="7"/>
      <c r="VNS9" s="7"/>
      <c r="VNZ9" s="7"/>
      <c r="VOG9" s="7"/>
      <c r="VON9" s="7"/>
      <c r="VOU9" s="7"/>
      <c r="VPB9" s="7"/>
      <c r="VPI9" s="7"/>
      <c r="VPP9" s="7"/>
      <c r="VPW9" s="7"/>
      <c r="VQD9" s="7"/>
      <c r="VQK9" s="7"/>
      <c r="VQR9" s="7"/>
      <c r="VQY9" s="7"/>
      <c r="VRF9" s="7"/>
      <c r="VRM9" s="7"/>
      <c r="VRT9" s="7"/>
      <c r="VSA9" s="7"/>
      <c r="VSH9" s="7"/>
      <c r="VSO9" s="7"/>
      <c r="VSV9" s="7"/>
      <c r="VTC9" s="7"/>
      <c r="VTJ9" s="7"/>
      <c r="VTQ9" s="7"/>
      <c r="VTX9" s="7"/>
      <c r="VUE9" s="7"/>
      <c r="VUL9" s="7"/>
      <c r="VUS9" s="7"/>
      <c r="VUZ9" s="7"/>
      <c r="VVG9" s="7"/>
      <c r="VVN9" s="7"/>
      <c r="VVU9" s="7"/>
      <c r="VWB9" s="7"/>
      <c r="VWI9" s="7"/>
      <c r="VWP9" s="7"/>
      <c r="VWW9" s="7"/>
      <c r="VXD9" s="7"/>
      <c r="VXK9" s="7"/>
      <c r="VXR9" s="7"/>
      <c r="VXY9" s="7"/>
      <c r="VYF9" s="7"/>
      <c r="VYM9" s="7"/>
      <c r="VYT9" s="7"/>
      <c r="VZA9" s="7"/>
      <c r="VZH9" s="7"/>
      <c r="VZO9" s="7"/>
      <c r="VZV9" s="7"/>
      <c r="WAC9" s="7"/>
      <c r="WAJ9" s="7"/>
      <c r="WAQ9" s="7"/>
      <c r="WAX9" s="7"/>
      <c r="WBE9" s="7"/>
      <c r="WBL9" s="7"/>
      <c r="WBS9" s="7"/>
      <c r="WBZ9" s="7"/>
      <c r="WCG9" s="7"/>
      <c r="WCN9" s="7"/>
      <c r="WCU9" s="7"/>
      <c r="WDB9" s="7"/>
      <c r="WDI9" s="7"/>
      <c r="WDP9" s="7"/>
      <c r="WDW9" s="7"/>
      <c r="WED9" s="7"/>
      <c r="WEK9" s="7"/>
      <c r="WER9" s="7"/>
      <c r="WEY9" s="7"/>
      <c r="WFF9" s="7"/>
      <c r="WFM9" s="7"/>
      <c r="WFT9" s="7"/>
      <c r="WGA9" s="7"/>
      <c r="WGH9" s="7"/>
      <c r="WGO9" s="7"/>
      <c r="WGV9" s="7"/>
      <c r="WHC9" s="7"/>
      <c r="WHJ9" s="7"/>
      <c r="WHQ9" s="7"/>
      <c r="WHX9" s="7"/>
      <c r="WIE9" s="7"/>
      <c r="WIL9" s="7"/>
      <c r="WIS9" s="7"/>
      <c r="WIZ9" s="7"/>
      <c r="WJG9" s="7"/>
      <c r="WJN9" s="7"/>
      <c r="WJU9" s="7"/>
      <c r="WKB9" s="7"/>
      <c r="WKI9" s="7"/>
      <c r="WKP9" s="7"/>
      <c r="WKW9" s="7"/>
      <c r="WLD9" s="7"/>
      <c r="WLK9" s="7"/>
      <c r="WLR9" s="7"/>
      <c r="WLY9" s="7"/>
      <c r="WMF9" s="7"/>
      <c r="WMM9" s="7"/>
      <c r="WMT9" s="7"/>
      <c r="WNA9" s="7"/>
      <c r="WNH9" s="7"/>
      <c r="WNO9" s="7"/>
      <c r="WNV9" s="7"/>
      <c r="WOC9" s="7"/>
      <c r="WOJ9" s="7"/>
      <c r="WOQ9" s="7"/>
      <c r="WOX9" s="7"/>
      <c r="WPE9" s="7"/>
      <c r="WPL9" s="7"/>
      <c r="WPS9" s="7"/>
      <c r="WPZ9" s="7"/>
      <c r="WQG9" s="7"/>
      <c r="WQN9" s="7"/>
      <c r="WQU9" s="7"/>
      <c r="WRB9" s="7"/>
      <c r="WRI9" s="7"/>
      <c r="WRP9" s="7"/>
      <c r="WRW9" s="7"/>
      <c r="WSD9" s="7"/>
      <c r="WSK9" s="7"/>
      <c r="WSR9" s="7"/>
      <c r="WSY9" s="7"/>
      <c r="WTF9" s="7"/>
      <c r="WTM9" s="7"/>
      <c r="WTT9" s="7"/>
      <c r="WUA9" s="7"/>
      <c r="WUH9" s="7"/>
      <c r="WUO9" s="7"/>
      <c r="WUV9" s="7"/>
      <c r="WVC9" s="7"/>
      <c r="WVJ9" s="7"/>
      <c r="WVQ9" s="7"/>
      <c r="WVX9" s="7"/>
      <c r="WWE9" s="7"/>
      <c r="WWL9" s="7"/>
      <c r="WWS9" s="7"/>
      <c r="WWZ9" s="7"/>
      <c r="WXG9" s="7"/>
      <c r="WXN9" s="7"/>
      <c r="WXU9" s="7"/>
      <c r="WYB9" s="7"/>
      <c r="WYI9" s="7"/>
      <c r="WYP9" s="7"/>
      <c r="WYW9" s="7"/>
      <c r="WZD9" s="7"/>
      <c r="WZK9" s="7"/>
      <c r="WZR9" s="7"/>
      <c r="WZY9" s="7"/>
      <c r="XAF9" s="7"/>
      <c r="XAM9" s="7"/>
      <c r="XAT9" s="7"/>
      <c r="XBA9" s="7"/>
      <c r="XBH9" s="7"/>
      <c r="XBO9" s="7"/>
      <c r="XBV9" s="7"/>
      <c r="XCC9" s="7"/>
      <c r="XCJ9" s="7"/>
      <c r="XCQ9" s="7"/>
      <c r="XCX9" s="7"/>
      <c r="XDE9" s="7"/>
      <c r="XDL9" s="7"/>
      <c r="XDS9" s="7"/>
      <c r="XDZ9" s="7"/>
      <c r="XEG9" s="7"/>
      <c r="XEN9" s="7"/>
      <c r="XEU9" s="7"/>
      <c r="XFB9" s="7"/>
    </row>
    <row r="10" spans="1:1024 1031:2046 2053:3068 3075:4090 4097:5119 5126:6141 6148:7163 7170:8192 8199:9214 9221:10236 10243:11258 11265:12287 12294:13309 13316:14331 14338:15360 15367:16382" ht="15.6" x14ac:dyDescent="0.55000000000000004">
      <c r="A10" s="5" t="s">
        <v>16</v>
      </c>
      <c r="B10" s="20">
        <v>50.52</v>
      </c>
      <c r="C10" s="20">
        <v>73.81</v>
      </c>
      <c r="D10" s="20">
        <v>37.36</v>
      </c>
      <c r="E10" s="20">
        <v>86.45</v>
      </c>
      <c r="F10" s="20">
        <v>119.14</v>
      </c>
      <c r="G10" s="20">
        <v>130.24</v>
      </c>
    </row>
    <row r="11" spans="1:1024 1031:2046 2053:3068 3075:4090 4097:5119 5126:6141 6148:7163 7170:8192 8199:9214 9221:10236 10243:11258 11265:12287 12294:13309 13316:14331 14338:15360 15367:16382" s="8" customFormat="1" ht="15.6" x14ac:dyDescent="0.55000000000000004">
      <c r="A11" s="7" t="s">
        <v>17</v>
      </c>
      <c r="B11" s="25">
        <v>0.13089999999999999</v>
      </c>
      <c r="C11" s="25">
        <v>0.15709999999999999</v>
      </c>
      <c r="D11" s="25">
        <v>7.2700000000000001E-2</v>
      </c>
      <c r="E11" s="25">
        <v>0.15040000000000001</v>
      </c>
      <c r="F11" s="25">
        <v>0.1867</v>
      </c>
      <c r="G11" s="25">
        <v>0.20030000000000001</v>
      </c>
      <c r="H11"/>
      <c r="I11" s="7"/>
      <c r="P11" s="7"/>
      <c r="W11" s="7"/>
      <c r="AD11" s="7"/>
      <c r="AK11" s="7"/>
      <c r="AR11" s="7"/>
      <c r="AY11" s="7"/>
      <c r="BF11" s="7"/>
      <c r="BM11" s="7"/>
      <c r="BT11" s="7"/>
      <c r="CA11" s="7"/>
      <c r="CH11" s="7"/>
      <c r="CO11" s="7"/>
      <c r="CV11" s="7"/>
      <c r="DC11" s="7"/>
      <c r="DJ11" s="7"/>
      <c r="DQ11" s="7"/>
      <c r="DX11" s="7"/>
      <c r="EE11" s="7"/>
      <c r="EL11" s="7"/>
      <c r="ES11" s="7"/>
      <c r="EZ11" s="7"/>
      <c r="FG11" s="7"/>
      <c r="FN11" s="7"/>
      <c r="FU11" s="7"/>
      <c r="GB11" s="7"/>
      <c r="GI11" s="7"/>
      <c r="GP11" s="7"/>
      <c r="GW11" s="7"/>
      <c r="HD11" s="7"/>
      <c r="HK11" s="7"/>
      <c r="HR11" s="7"/>
      <c r="HY11" s="7"/>
      <c r="IF11" s="7"/>
      <c r="IM11" s="7"/>
      <c r="IT11" s="7"/>
      <c r="JA11" s="7"/>
      <c r="JH11" s="7"/>
      <c r="JO11" s="7"/>
      <c r="JV11" s="7"/>
      <c r="KC11" s="7"/>
      <c r="KJ11" s="7"/>
      <c r="KQ11" s="7"/>
      <c r="KX11" s="7"/>
      <c r="LE11" s="7"/>
      <c r="LL11" s="7"/>
      <c r="LS11" s="7"/>
      <c r="LZ11" s="7"/>
      <c r="MG11" s="7"/>
      <c r="MN11" s="7"/>
      <c r="MU11" s="7"/>
      <c r="NB11" s="7"/>
      <c r="NI11" s="7"/>
      <c r="NP11" s="7"/>
      <c r="NW11" s="7"/>
      <c r="OD11" s="7"/>
      <c r="OK11" s="7"/>
      <c r="OR11" s="7"/>
      <c r="OY11" s="7"/>
      <c r="PF11" s="7"/>
      <c r="PM11" s="7"/>
      <c r="PT11" s="7"/>
      <c r="QA11" s="7"/>
      <c r="QH11" s="7"/>
      <c r="QO11" s="7"/>
      <c r="QV11" s="7"/>
      <c r="RC11" s="7"/>
      <c r="RJ11" s="7"/>
      <c r="RQ11" s="7"/>
      <c r="RX11" s="7"/>
      <c r="SE11" s="7"/>
      <c r="SL11" s="7"/>
      <c r="SS11" s="7"/>
      <c r="SZ11" s="7"/>
      <c r="TG11" s="7"/>
      <c r="TN11" s="7"/>
      <c r="TU11" s="7"/>
      <c r="UB11" s="7"/>
      <c r="UI11" s="7"/>
      <c r="UP11" s="7"/>
      <c r="UW11" s="7"/>
      <c r="VD11" s="7"/>
      <c r="VK11" s="7"/>
      <c r="VR11" s="7"/>
      <c r="VY11" s="7"/>
      <c r="WF11" s="7"/>
      <c r="WM11" s="7"/>
      <c r="WT11" s="7"/>
      <c r="XA11" s="7"/>
      <c r="XH11" s="7"/>
      <c r="XO11" s="7"/>
      <c r="XV11" s="7"/>
      <c r="YC11" s="7"/>
      <c r="YJ11" s="7"/>
      <c r="YQ11" s="7"/>
      <c r="YX11" s="7"/>
      <c r="ZE11" s="7"/>
      <c r="ZL11" s="7"/>
      <c r="ZS11" s="7"/>
      <c r="ZZ11" s="7"/>
      <c r="AAG11" s="7"/>
      <c r="AAN11" s="7"/>
      <c r="AAU11" s="7"/>
      <c r="ABB11" s="7"/>
      <c r="ABI11" s="7"/>
      <c r="ABP11" s="7"/>
      <c r="ABW11" s="7"/>
      <c r="ACD11" s="7"/>
      <c r="ACK11" s="7"/>
      <c r="ACR11" s="7"/>
      <c r="ACY11" s="7"/>
      <c r="ADF11" s="7"/>
      <c r="ADM11" s="7"/>
      <c r="ADT11" s="7"/>
      <c r="AEA11" s="7"/>
      <c r="AEH11" s="7"/>
      <c r="AEO11" s="7"/>
      <c r="AEV11" s="7"/>
      <c r="AFC11" s="7"/>
      <c r="AFJ11" s="7"/>
      <c r="AFQ11" s="7"/>
      <c r="AFX11" s="7"/>
      <c r="AGE11" s="7"/>
      <c r="AGL11" s="7"/>
      <c r="AGS11" s="7"/>
      <c r="AGZ11" s="7"/>
      <c r="AHG11" s="7"/>
      <c r="AHN11" s="7"/>
      <c r="AHU11" s="7"/>
      <c r="AIB11" s="7"/>
      <c r="AII11" s="7"/>
      <c r="AIP11" s="7"/>
      <c r="AIW11" s="7"/>
      <c r="AJD11" s="7"/>
      <c r="AJK11" s="7"/>
      <c r="AJR11" s="7"/>
      <c r="AJY11" s="7"/>
      <c r="AKF11" s="7"/>
      <c r="AKM11" s="7"/>
      <c r="AKT11" s="7"/>
      <c r="ALA11" s="7"/>
      <c r="ALH11" s="7"/>
      <c r="ALO11" s="7"/>
      <c r="ALV11" s="7"/>
      <c r="AMC11" s="7"/>
      <c r="AMJ11" s="7"/>
      <c r="AMQ11" s="7"/>
      <c r="AMX11" s="7"/>
      <c r="ANE11" s="7"/>
      <c r="ANL11" s="7"/>
      <c r="ANS11" s="7"/>
      <c r="ANZ11" s="7"/>
      <c r="AOG11" s="7"/>
      <c r="AON11" s="7"/>
      <c r="AOU11" s="7"/>
      <c r="APB11" s="7"/>
      <c r="API11" s="7"/>
      <c r="APP11" s="7"/>
      <c r="APW11" s="7"/>
      <c r="AQD11" s="7"/>
      <c r="AQK11" s="7"/>
      <c r="AQR11" s="7"/>
      <c r="AQY11" s="7"/>
      <c r="ARF11" s="7"/>
      <c r="ARM11" s="7"/>
      <c r="ART11" s="7"/>
      <c r="ASA11" s="7"/>
      <c r="ASH11" s="7"/>
      <c r="ASO11" s="7"/>
      <c r="ASV11" s="7"/>
      <c r="ATC11" s="7"/>
      <c r="ATJ11" s="7"/>
      <c r="ATQ11" s="7"/>
      <c r="ATX11" s="7"/>
      <c r="AUE11" s="7"/>
      <c r="AUL11" s="7"/>
      <c r="AUS11" s="7"/>
      <c r="AUZ11" s="7"/>
      <c r="AVG11" s="7"/>
      <c r="AVN11" s="7"/>
      <c r="AVU11" s="7"/>
      <c r="AWB11" s="7"/>
      <c r="AWI11" s="7"/>
      <c r="AWP11" s="7"/>
      <c r="AWW11" s="7"/>
      <c r="AXD11" s="7"/>
      <c r="AXK11" s="7"/>
      <c r="AXR11" s="7"/>
      <c r="AXY11" s="7"/>
      <c r="AYF11" s="7"/>
      <c r="AYM11" s="7"/>
      <c r="AYT11" s="7"/>
      <c r="AZA11" s="7"/>
      <c r="AZH11" s="7"/>
      <c r="AZO11" s="7"/>
      <c r="AZV11" s="7"/>
      <c r="BAC11" s="7"/>
      <c r="BAJ11" s="7"/>
      <c r="BAQ11" s="7"/>
      <c r="BAX11" s="7"/>
      <c r="BBE11" s="7"/>
      <c r="BBL11" s="7"/>
      <c r="BBS11" s="7"/>
      <c r="BBZ11" s="7"/>
      <c r="BCG11" s="7"/>
      <c r="BCN11" s="7"/>
      <c r="BCU11" s="7"/>
      <c r="BDB11" s="7"/>
      <c r="BDI11" s="7"/>
      <c r="BDP11" s="7"/>
      <c r="BDW11" s="7"/>
      <c r="BED11" s="7"/>
      <c r="BEK11" s="7"/>
      <c r="BER11" s="7"/>
      <c r="BEY11" s="7"/>
      <c r="BFF11" s="7"/>
      <c r="BFM11" s="7"/>
      <c r="BFT11" s="7"/>
      <c r="BGA11" s="7"/>
      <c r="BGH11" s="7"/>
      <c r="BGO11" s="7"/>
      <c r="BGV11" s="7"/>
      <c r="BHC11" s="7"/>
      <c r="BHJ11" s="7"/>
      <c r="BHQ11" s="7"/>
      <c r="BHX11" s="7"/>
      <c r="BIE11" s="7"/>
      <c r="BIL11" s="7"/>
      <c r="BIS11" s="7"/>
      <c r="BIZ11" s="7"/>
      <c r="BJG11" s="7"/>
      <c r="BJN11" s="7"/>
      <c r="BJU11" s="7"/>
      <c r="BKB11" s="7"/>
      <c r="BKI11" s="7"/>
      <c r="BKP11" s="7"/>
      <c r="BKW11" s="7"/>
      <c r="BLD11" s="7"/>
      <c r="BLK11" s="7"/>
      <c r="BLR11" s="7"/>
      <c r="BLY11" s="7"/>
      <c r="BMF11" s="7"/>
      <c r="BMM11" s="7"/>
      <c r="BMT11" s="7"/>
      <c r="BNA11" s="7"/>
      <c r="BNH11" s="7"/>
      <c r="BNO11" s="7"/>
      <c r="BNV11" s="7"/>
      <c r="BOC11" s="7"/>
      <c r="BOJ11" s="7"/>
      <c r="BOQ11" s="7"/>
      <c r="BOX11" s="7"/>
      <c r="BPE11" s="7"/>
      <c r="BPL11" s="7"/>
      <c r="BPS11" s="7"/>
      <c r="BPZ11" s="7"/>
      <c r="BQG11" s="7"/>
      <c r="BQN11" s="7"/>
      <c r="BQU11" s="7"/>
      <c r="BRB11" s="7"/>
      <c r="BRI11" s="7"/>
      <c r="BRP11" s="7"/>
      <c r="BRW11" s="7"/>
      <c r="BSD11" s="7"/>
      <c r="BSK11" s="7"/>
      <c r="BSR11" s="7"/>
      <c r="BSY11" s="7"/>
      <c r="BTF11" s="7"/>
      <c r="BTM11" s="7"/>
      <c r="BTT11" s="7"/>
      <c r="BUA11" s="7"/>
      <c r="BUH11" s="7"/>
      <c r="BUO11" s="7"/>
      <c r="BUV11" s="7"/>
      <c r="BVC11" s="7"/>
      <c r="BVJ11" s="7"/>
      <c r="BVQ11" s="7"/>
      <c r="BVX11" s="7"/>
      <c r="BWE11" s="7"/>
      <c r="BWL11" s="7"/>
      <c r="BWS11" s="7"/>
      <c r="BWZ11" s="7"/>
      <c r="BXG11" s="7"/>
      <c r="BXN11" s="7"/>
      <c r="BXU11" s="7"/>
      <c r="BYB11" s="7"/>
      <c r="BYI11" s="7"/>
      <c r="BYP11" s="7"/>
      <c r="BYW11" s="7"/>
      <c r="BZD11" s="7"/>
      <c r="BZK11" s="7"/>
      <c r="BZR11" s="7"/>
      <c r="BZY11" s="7"/>
      <c r="CAF11" s="7"/>
      <c r="CAM11" s="7"/>
      <c r="CAT11" s="7"/>
      <c r="CBA11" s="7"/>
      <c r="CBH11" s="7"/>
      <c r="CBO11" s="7"/>
      <c r="CBV11" s="7"/>
      <c r="CCC11" s="7"/>
      <c r="CCJ11" s="7"/>
      <c r="CCQ11" s="7"/>
      <c r="CCX11" s="7"/>
      <c r="CDE11" s="7"/>
      <c r="CDL11" s="7"/>
      <c r="CDS11" s="7"/>
      <c r="CDZ11" s="7"/>
      <c r="CEG11" s="7"/>
      <c r="CEN11" s="7"/>
      <c r="CEU11" s="7"/>
      <c r="CFB11" s="7"/>
      <c r="CFI11" s="7"/>
      <c r="CFP11" s="7"/>
      <c r="CFW11" s="7"/>
      <c r="CGD11" s="7"/>
      <c r="CGK11" s="7"/>
      <c r="CGR11" s="7"/>
      <c r="CGY11" s="7"/>
      <c r="CHF11" s="7"/>
      <c r="CHM11" s="7"/>
      <c r="CHT11" s="7"/>
      <c r="CIA11" s="7"/>
      <c r="CIH11" s="7"/>
      <c r="CIO11" s="7"/>
      <c r="CIV11" s="7"/>
      <c r="CJC11" s="7"/>
      <c r="CJJ11" s="7"/>
      <c r="CJQ11" s="7"/>
      <c r="CJX11" s="7"/>
      <c r="CKE11" s="7"/>
      <c r="CKL11" s="7"/>
      <c r="CKS11" s="7"/>
      <c r="CKZ11" s="7"/>
      <c r="CLG11" s="7"/>
      <c r="CLN11" s="7"/>
      <c r="CLU11" s="7"/>
      <c r="CMB11" s="7"/>
      <c r="CMI11" s="7"/>
      <c r="CMP11" s="7"/>
      <c r="CMW11" s="7"/>
      <c r="CND11" s="7"/>
      <c r="CNK11" s="7"/>
      <c r="CNR11" s="7"/>
      <c r="CNY11" s="7"/>
      <c r="COF11" s="7"/>
      <c r="COM11" s="7"/>
      <c r="COT11" s="7"/>
      <c r="CPA11" s="7"/>
      <c r="CPH11" s="7"/>
      <c r="CPO11" s="7"/>
      <c r="CPV11" s="7"/>
      <c r="CQC11" s="7"/>
      <c r="CQJ11" s="7"/>
      <c r="CQQ11" s="7"/>
      <c r="CQX11" s="7"/>
      <c r="CRE11" s="7"/>
      <c r="CRL11" s="7"/>
      <c r="CRS11" s="7"/>
      <c r="CRZ11" s="7"/>
      <c r="CSG11" s="7"/>
      <c r="CSN11" s="7"/>
      <c r="CSU11" s="7"/>
      <c r="CTB11" s="7"/>
      <c r="CTI11" s="7"/>
      <c r="CTP11" s="7"/>
      <c r="CTW11" s="7"/>
      <c r="CUD11" s="7"/>
      <c r="CUK11" s="7"/>
      <c r="CUR11" s="7"/>
      <c r="CUY11" s="7"/>
      <c r="CVF11" s="7"/>
      <c r="CVM11" s="7"/>
      <c r="CVT11" s="7"/>
      <c r="CWA11" s="7"/>
      <c r="CWH11" s="7"/>
      <c r="CWO11" s="7"/>
      <c r="CWV11" s="7"/>
      <c r="CXC11" s="7"/>
      <c r="CXJ11" s="7"/>
      <c r="CXQ11" s="7"/>
      <c r="CXX11" s="7"/>
      <c r="CYE11" s="7"/>
      <c r="CYL11" s="7"/>
      <c r="CYS11" s="7"/>
      <c r="CYZ11" s="7"/>
      <c r="CZG11" s="7"/>
      <c r="CZN11" s="7"/>
      <c r="CZU11" s="7"/>
      <c r="DAB11" s="7"/>
      <c r="DAI11" s="7"/>
      <c r="DAP11" s="7"/>
      <c r="DAW11" s="7"/>
      <c r="DBD11" s="7"/>
      <c r="DBK11" s="7"/>
      <c r="DBR11" s="7"/>
      <c r="DBY11" s="7"/>
      <c r="DCF11" s="7"/>
      <c r="DCM11" s="7"/>
      <c r="DCT11" s="7"/>
      <c r="DDA11" s="7"/>
      <c r="DDH11" s="7"/>
      <c r="DDO11" s="7"/>
      <c r="DDV11" s="7"/>
      <c r="DEC11" s="7"/>
      <c r="DEJ11" s="7"/>
      <c r="DEQ11" s="7"/>
      <c r="DEX11" s="7"/>
      <c r="DFE11" s="7"/>
      <c r="DFL11" s="7"/>
      <c r="DFS11" s="7"/>
      <c r="DFZ11" s="7"/>
      <c r="DGG11" s="7"/>
      <c r="DGN11" s="7"/>
      <c r="DGU11" s="7"/>
      <c r="DHB11" s="7"/>
      <c r="DHI11" s="7"/>
      <c r="DHP11" s="7"/>
      <c r="DHW11" s="7"/>
      <c r="DID11" s="7"/>
      <c r="DIK11" s="7"/>
      <c r="DIR11" s="7"/>
      <c r="DIY11" s="7"/>
      <c r="DJF11" s="7"/>
      <c r="DJM11" s="7"/>
      <c r="DJT11" s="7"/>
      <c r="DKA11" s="7"/>
      <c r="DKH11" s="7"/>
      <c r="DKO11" s="7"/>
      <c r="DKV11" s="7"/>
      <c r="DLC11" s="7"/>
      <c r="DLJ11" s="7"/>
      <c r="DLQ11" s="7"/>
      <c r="DLX11" s="7"/>
      <c r="DME11" s="7"/>
      <c r="DML11" s="7"/>
      <c r="DMS11" s="7"/>
      <c r="DMZ11" s="7"/>
      <c r="DNG11" s="7"/>
      <c r="DNN11" s="7"/>
      <c r="DNU11" s="7"/>
      <c r="DOB11" s="7"/>
      <c r="DOI11" s="7"/>
      <c r="DOP11" s="7"/>
      <c r="DOW11" s="7"/>
      <c r="DPD11" s="7"/>
      <c r="DPK11" s="7"/>
      <c r="DPR11" s="7"/>
      <c r="DPY11" s="7"/>
      <c r="DQF11" s="7"/>
      <c r="DQM11" s="7"/>
      <c r="DQT11" s="7"/>
      <c r="DRA11" s="7"/>
      <c r="DRH11" s="7"/>
      <c r="DRO11" s="7"/>
      <c r="DRV11" s="7"/>
      <c r="DSC11" s="7"/>
      <c r="DSJ11" s="7"/>
      <c r="DSQ11" s="7"/>
      <c r="DSX11" s="7"/>
      <c r="DTE11" s="7"/>
      <c r="DTL11" s="7"/>
      <c r="DTS11" s="7"/>
      <c r="DTZ11" s="7"/>
      <c r="DUG11" s="7"/>
      <c r="DUN11" s="7"/>
      <c r="DUU11" s="7"/>
      <c r="DVB11" s="7"/>
      <c r="DVI11" s="7"/>
      <c r="DVP11" s="7"/>
      <c r="DVW11" s="7"/>
      <c r="DWD11" s="7"/>
      <c r="DWK11" s="7"/>
      <c r="DWR11" s="7"/>
      <c r="DWY11" s="7"/>
      <c r="DXF11" s="7"/>
      <c r="DXM11" s="7"/>
      <c r="DXT11" s="7"/>
      <c r="DYA11" s="7"/>
      <c r="DYH11" s="7"/>
      <c r="DYO11" s="7"/>
      <c r="DYV11" s="7"/>
      <c r="DZC11" s="7"/>
      <c r="DZJ11" s="7"/>
      <c r="DZQ11" s="7"/>
      <c r="DZX11" s="7"/>
      <c r="EAE11" s="7"/>
      <c r="EAL11" s="7"/>
      <c r="EAS11" s="7"/>
      <c r="EAZ11" s="7"/>
      <c r="EBG11" s="7"/>
      <c r="EBN11" s="7"/>
      <c r="EBU11" s="7"/>
      <c r="ECB11" s="7"/>
      <c r="ECI11" s="7"/>
      <c r="ECP11" s="7"/>
      <c r="ECW11" s="7"/>
      <c r="EDD11" s="7"/>
      <c r="EDK11" s="7"/>
      <c r="EDR11" s="7"/>
      <c r="EDY11" s="7"/>
      <c r="EEF11" s="7"/>
      <c r="EEM11" s="7"/>
      <c r="EET11" s="7"/>
      <c r="EFA11" s="7"/>
      <c r="EFH11" s="7"/>
      <c r="EFO11" s="7"/>
      <c r="EFV11" s="7"/>
      <c r="EGC11" s="7"/>
      <c r="EGJ11" s="7"/>
      <c r="EGQ11" s="7"/>
      <c r="EGX11" s="7"/>
      <c r="EHE11" s="7"/>
      <c r="EHL11" s="7"/>
      <c r="EHS11" s="7"/>
      <c r="EHZ11" s="7"/>
      <c r="EIG11" s="7"/>
      <c r="EIN11" s="7"/>
      <c r="EIU11" s="7"/>
      <c r="EJB11" s="7"/>
      <c r="EJI11" s="7"/>
      <c r="EJP11" s="7"/>
      <c r="EJW11" s="7"/>
      <c r="EKD11" s="7"/>
      <c r="EKK11" s="7"/>
      <c r="EKR11" s="7"/>
      <c r="EKY11" s="7"/>
      <c r="ELF11" s="7"/>
      <c r="ELM11" s="7"/>
      <c r="ELT11" s="7"/>
      <c r="EMA11" s="7"/>
      <c r="EMH11" s="7"/>
      <c r="EMO11" s="7"/>
      <c r="EMV11" s="7"/>
      <c r="ENC11" s="7"/>
      <c r="ENJ11" s="7"/>
      <c r="ENQ11" s="7"/>
      <c r="ENX11" s="7"/>
      <c r="EOE11" s="7"/>
      <c r="EOL11" s="7"/>
      <c r="EOS11" s="7"/>
      <c r="EOZ11" s="7"/>
      <c r="EPG11" s="7"/>
      <c r="EPN11" s="7"/>
      <c r="EPU11" s="7"/>
      <c r="EQB11" s="7"/>
      <c r="EQI11" s="7"/>
      <c r="EQP11" s="7"/>
      <c r="EQW11" s="7"/>
      <c r="ERD11" s="7"/>
      <c r="ERK11" s="7"/>
      <c r="ERR11" s="7"/>
      <c r="ERY11" s="7"/>
      <c r="ESF11" s="7"/>
      <c r="ESM11" s="7"/>
      <c r="EST11" s="7"/>
      <c r="ETA11" s="7"/>
      <c r="ETH11" s="7"/>
      <c r="ETO11" s="7"/>
      <c r="ETV11" s="7"/>
      <c r="EUC11" s="7"/>
      <c r="EUJ11" s="7"/>
      <c r="EUQ11" s="7"/>
      <c r="EUX11" s="7"/>
      <c r="EVE11" s="7"/>
      <c r="EVL11" s="7"/>
      <c r="EVS11" s="7"/>
      <c r="EVZ11" s="7"/>
      <c r="EWG11" s="7"/>
      <c r="EWN11" s="7"/>
      <c r="EWU11" s="7"/>
      <c r="EXB11" s="7"/>
      <c r="EXI11" s="7"/>
      <c r="EXP11" s="7"/>
      <c r="EXW11" s="7"/>
      <c r="EYD11" s="7"/>
      <c r="EYK11" s="7"/>
      <c r="EYR11" s="7"/>
      <c r="EYY11" s="7"/>
      <c r="EZF11" s="7"/>
      <c r="EZM11" s="7"/>
      <c r="EZT11" s="7"/>
      <c r="FAA11" s="7"/>
      <c r="FAH11" s="7"/>
      <c r="FAO11" s="7"/>
      <c r="FAV11" s="7"/>
      <c r="FBC11" s="7"/>
      <c r="FBJ11" s="7"/>
      <c r="FBQ11" s="7"/>
      <c r="FBX11" s="7"/>
      <c r="FCE11" s="7"/>
      <c r="FCL11" s="7"/>
      <c r="FCS11" s="7"/>
      <c r="FCZ11" s="7"/>
      <c r="FDG11" s="7"/>
      <c r="FDN11" s="7"/>
      <c r="FDU11" s="7"/>
      <c r="FEB11" s="7"/>
      <c r="FEI11" s="7"/>
      <c r="FEP11" s="7"/>
      <c r="FEW11" s="7"/>
      <c r="FFD11" s="7"/>
      <c r="FFK11" s="7"/>
      <c r="FFR11" s="7"/>
      <c r="FFY11" s="7"/>
      <c r="FGF11" s="7"/>
      <c r="FGM11" s="7"/>
      <c r="FGT11" s="7"/>
      <c r="FHA11" s="7"/>
      <c r="FHH11" s="7"/>
      <c r="FHO11" s="7"/>
      <c r="FHV11" s="7"/>
      <c r="FIC11" s="7"/>
      <c r="FIJ11" s="7"/>
      <c r="FIQ11" s="7"/>
      <c r="FIX11" s="7"/>
      <c r="FJE11" s="7"/>
      <c r="FJL11" s="7"/>
      <c r="FJS11" s="7"/>
      <c r="FJZ11" s="7"/>
      <c r="FKG11" s="7"/>
      <c r="FKN11" s="7"/>
      <c r="FKU11" s="7"/>
      <c r="FLB11" s="7"/>
      <c r="FLI11" s="7"/>
      <c r="FLP11" s="7"/>
      <c r="FLW11" s="7"/>
      <c r="FMD11" s="7"/>
      <c r="FMK11" s="7"/>
      <c r="FMR11" s="7"/>
      <c r="FMY11" s="7"/>
      <c r="FNF11" s="7"/>
      <c r="FNM11" s="7"/>
      <c r="FNT11" s="7"/>
      <c r="FOA11" s="7"/>
      <c r="FOH11" s="7"/>
      <c r="FOO11" s="7"/>
      <c r="FOV11" s="7"/>
      <c r="FPC11" s="7"/>
      <c r="FPJ11" s="7"/>
      <c r="FPQ11" s="7"/>
      <c r="FPX11" s="7"/>
      <c r="FQE11" s="7"/>
      <c r="FQL11" s="7"/>
      <c r="FQS11" s="7"/>
      <c r="FQZ11" s="7"/>
      <c r="FRG11" s="7"/>
      <c r="FRN11" s="7"/>
      <c r="FRU11" s="7"/>
      <c r="FSB11" s="7"/>
      <c r="FSI11" s="7"/>
      <c r="FSP11" s="7"/>
      <c r="FSW11" s="7"/>
      <c r="FTD11" s="7"/>
      <c r="FTK11" s="7"/>
      <c r="FTR11" s="7"/>
      <c r="FTY11" s="7"/>
      <c r="FUF11" s="7"/>
      <c r="FUM11" s="7"/>
      <c r="FUT11" s="7"/>
      <c r="FVA11" s="7"/>
      <c r="FVH11" s="7"/>
      <c r="FVO11" s="7"/>
      <c r="FVV11" s="7"/>
      <c r="FWC11" s="7"/>
      <c r="FWJ11" s="7"/>
      <c r="FWQ11" s="7"/>
      <c r="FWX11" s="7"/>
      <c r="FXE11" s="7"/>
      <c r="FXL11" s="7"/>
      <c r="FXS11" s="7"/>
      <c r="FXZ11" s="7"/>
      <c r="FYG11" s="7"/>
      <c r="FYN11" s="7"/>
      <c r="FYU11" s="7"/>
      <c r="FZB11" s="7"/>
      <c r="FZI11" s="7"/>
      <c r="FZP11" s="7"/>
      <c r="FZW11" s="7"/>
      <c r="GAD11" s="7"/>
      <c r="GAK11" s="7"/>
      <c r="GAR11" s="7"/>
      <c r="GAY11" s="7"/>
      <c r="GBF11" s="7"/>
      <c r="GBM11" s="7"/>
      <c r="GBT11" s="7"/>
      <c r="GCA11" s="7"/>
      <c r="GCH11" s="7"/>
      <c r="GCO11" s="7"/>
      <c r="GCV11" s="7"/>
      <c r="GDC11" s="7"/>
      <c r="GDJ11" s="7"/>
      <c r="GDQ11" s="7"/>
      <c r="GDX11" s="7"/>
      <c r="GEE11" s="7"/>
      <c r="GEL11" s="7"/>
      <c r="GES11" s="7"/>
      <c r="GEZ11" s="7"/>
      <c r="GFG11" s="7"/>
      <c r="GFN11" s="7"/>
      <c r="GFU11" s="7"/>
      <c r="GGB11" s="7"/>
      <c r="GGI11" s="7"/>
      <c r="GGP11" s="7"/>
      <c r="GGW11" s="7"/>
      <c r="GHD11" s="7"/>
      <c r="GHK11" s="7"/>
      <c r="GHR11" s="7"/>
      <c r="GHY11" s="7"/>
      <c r="GIF11" s="7"/>
      <c r="GIM11" s="7"/>
      <c r="GIT11" s="7"/>
      <c r="GJA11" s="7"/>
      <c r="GJH11" s="7"/>
      <c r="GJO11" s="7"/>
      <c r="GJV11" s="7"/>
      <c r="GKC11" s="7"/>
      <c r="GKJ11" s="7"/>
      <c r="GKQ11" s="7"/>
      <c r="GKX11" s="7"/>
      <c r="GLE11" s="7"/>
      <c r="GLL11" s="7"/>
      <c r="GLS11" s="7"/>
      <c r="GLZ11" s="7"/>
      <c r="GMG11" s="7"/>
      <c r="GMN11" s="7"/>
      <c r="GMU11" s="7"/>
      <c r="GNB11" s="7"/>
      <c r="GNI11" s="7"/>
      <c r="GNP11" s="7"/>
      <c r="GNW11" s="7"/>
      <c r="GOD11" s="7"/>
      <c r="GOK11" s="7"/>
      <c r="GOR11" s="7"/>
      <c r="GOY11" s="7"/>
      <c r="GPF11" s="7"/>
      <c r="GPM11" s="7"/>
      <c r="GPT11" s="7"/>
      <c r="GQA11" s="7"/>
      <c r="GQH11" s="7"/>
      <c r="GQO11" s="7"/>
      <c r="GQV11" s="7"/>
      <c r="GRC11" s="7"/>
      <c r="GRJ11" s="7"/>
      <c r="GRQ11" s="7"/>
      <c r="GRX11" s="7"/>
      <c r="GSE11" s="7"/>
      <c r="GSL11" s="7"/>
      <c r="GSS11" s="7"/>
      <c r="GSZ11" s="7"/>
      <c r="GTG11" s="7"/>
      <c r="GTN11" s="7"/>
      <c r="GTU11" s="7"/>
      <c r="GUB11" s="7"/>
      <c r="GUI11" s="7"/>
      <c r="GUP11" s="7"/>
      <c r="GUW11" s="7"/>
      <c r="GVD11" s="7"/>
      <c r="GVK11" s="7"/>
      <c r="GVR11" s="7"/>
      <c r="GVY11" s="7"/>
      <c r="GWF11" s="7"/>
      <c r="GWM11" s="7"/>
      <c r="GWT11" s="7"/>
      <c r="GXA11" s="7"/>
      <c r="GXH11" s="7"/>
      <c r="GXO11" s="7"/>
      <c r="GXV11" s="7"/>
      <c r="GYC11" s="7"/>
      <c r="GYJ11" s="7"/>
      <c r="GYQ11" s="7"/>
      <c r="GYX11" s="7"/>
      <c r="GZE11" s="7"/>
      <c r="GZL11" s="7"/>
      <c r="GZS11" s="7"/>
      <c r="GZZ11" s="7"/>
      <c r="HAG11" s="7"/>
      <c r="HAN11" s="7"/>
      <c r="HAU11" s="7"/>
      <c r="HBB11" s="7"/>
      <c r="HBI11" s="7"/>
      <c r="HBP11" s="7"/>
      <c r="HBW11" s="7"/>
      <c r="HCD11" s="7"/>
      <c r="HCK11" s="7"/>
      <c r="HCR11" s="7"/>
      <c r="HCY11" s="7"/>
      <c r="HDF11" s="7"/>
      <c r="HDM11" s="7"/>
      <c r="HDT11" s="7"/>
      <c r="HEA11" s="7"/>
      <c r="HEH11" s="7"/>
      <c r="HEO11" s="7"/>
      <c r="HEV11" s="7"/>
      <c r="HFC11" s="7"/>
      <c r="HFJ11" s="7"/>
      <c r="HFQ11" s="7"/>
      <c r="HFX11" s="7"/>
      <c r="HGE11" s="7"/>
      <c r="HGL11" s="7"/>
      <c r="HGS11" s="7"/>
      <c r="HGZ11" s="7"/>
      <c r="HHG11" s="7"/>
      <c r="HHN11" s="7"/>
      <c r="HHU11" s="7"/>
      <c r="HIB11" s="7"/>
      <c r="HII11" s="7"/>
      <c r="HIP11" s="7"/>
      <c r="HIW11" s="7"/>
      <c r="HJD11" s="7"/>
      <c r="HJK11" s="7"/>
      <c r="HJR11" s="7"/>
      <c r="HJY11" s="7"/>
      <c r="HKF11" s="7"/>
      <c r="HKM11" s="7"/>
      <c r="HKT11" s="7"/>
      <c r="HLA11" s="7"/>
      <c r="HLH11" s="7"/>
      <c r="HLO11" s="7"/>
      <c r="HLV11" s="7"/>
      <c r="HMC11" s="7"/>
      <c r="HMJ11" s="7"/>
      <c r="HMQ11" s="7"/>
      <c r="HMX11" s="7"/>
      <c r="HNE11" s="7"/>
      <c r="HNL11" s="7"/>
      <c r="HNS11" s="7"/>
      <c r="HNZ11" s="7"/>
      <c r="HOG11" s="7"/>
      <c r="HON11" s="7"/>
      <c r="HOU11" s="7"/>
      <c r="HPB11" s="7"/>
      <c r="HPI11" s="7"/>
      <c r="HPP11" s="7"/>
      <c r="HPW11" s="7"/>
      <c r="HQD11" s="7"/>
      <c r="HQK11" s="7"/>
      <c r="HQR11" s="7"/>
      <c r="HQY11" s="7"/>
      <c r="HRF11" s="7"/>
      <c r="HRM11" s="7"/>
      <c r="HRT11" s="7"/>
      <c r="HSA11" s="7"/>
      <c r="HSH11" s="7"/>
      <c r="HSO11" s="7"/>
      <c r="HSV11" s="7"/>
      <c r="HTC11" s="7"/>
      <c r="HTJ11" s="7"/>
      <c r="HTQ11" s="7"/>
      <c r="HTX11" s="7"/>
      <c r="HUE11" s="7"/>
      <c r="HUL11" s="7"/>
      <c r="HUS11" s="7"/>
      <c r="HUZ11" s="7"/>
      <c r="HVG11" s="7"/>
      <c r="HVN11" s="7"/>
      <c r="HVU11" s="7"/>
      <c r="HWB11" s="7"/>
      <c r="HWI11" s="7"/>
      <c r="HWP11" s="7"/>
      <c r="HWW11" s="7"/>
      <c r="HXD11" s="7"/>
      <c r="HXK11" s="7"/>
      <c r="HXR11" s="7"/>
      <c r="HXY11" s="7"/>
      <c r="HYF11" s="7"/>
      <c r="HYM11" s="7"/>
      <c r="HYT11" s="7"/>
      <c r="HZA11" s="7"/>
      <c r="HZH11" s="7"/>
      <c r="HZO11" s="7"/>
      <c r="HZV11" s="7"/>
      <c r="IAC11" s="7"/>
      <c r="IAJ11" s="7"/>
      <c r="IAQ11" s="7"/>
      <c r="IAX11" s="7"/>
      <c r="IBE11" s="7"/>
      <c r="IBL11" s="7"/>
      <c r="IBS11" s="7"/>
      <c r="IBZ11" s="7"/>
      <c r="ICG11" s="7"/>
      <c r="ICN11" s="7"/>
      <c r="ICU11" s="7"/>
      <c r="IDB11" s="7"/>
      <c r="IDI11" s="7"/>
      <c r="IDP11" s="7"/>
      <c r="IDW11" s="7"/>
      <c r="IED11" s="7"/>
      <c r="IEK11" s="7"/>
      <c r="IER11" s="7"/>
      <c r="IEY11" s="7"/>
      <c r="IFF11" s="7"/>
      <c r="IFM11" s="7"/>
      <c r="IFT11" s="7"/>
      <c r="IGA11" s="7"/>
      <c r="IGH11" s="7"/>
      <c r="IGO11" s="7"/>
      <c r="IGV11" s="7"/>
      <c r="IHC11" s="7"/>
      <c r="IHJ11" s="7"/>
      <c r="IHQ11" s="7"/>
      <c r="IHX11" s="7"/>
      <c r="IIE11" s="7"/>
      <c r="IIL11" s="7"/>
      <c r="IIS11" s="7"/>
      <c r="IIZ11" s="7"/>
      <c r="IJG11" s="7"/>
      <c r="IJN11" s="7"/>
      <c r="IJU11" s="7"/>
      <c r="IKB11" s="7"/>
      <c r="IKI11" s="7"/>
      <c r="IKP11" s="7"/>
      <c r="IKW11" s="7"/>
      <c r="ILD11" s="7"/>
      <c r="ILK11" s="7"/>
      <c r="ILR11" s="7"/>
      <c r="ILY11" s="7"/>
      <c r="IMF11" s="7"/>
      <c r="IMM11" s="7"/>
      <c r="IMT11" s="7"/>
      <c r="INA11" s="7"/>
      <c r="INH11" s="7"/>
      <c r="INO11" s="7"/>
      <c r="INV11" s="7"/>
      <c r="IOC11" s="7"/>
      <c r="IOJ11" s="7"/>
      <c r="IOQ11" s="7"/>
      <c r="IOX11" s="7"/>
      <c r="IPE11" s="7"/>
      <c r="IPL11" s="7"/>
      <c r="IPS11" s="7"/>
      <c r="IPZ11" s="7"/>
      <c r="IQG11" s="7"/>
      <c r="IQN11" s="7"/>
      <c r="IQU11" s="7"/>
      <c r="IRB11" s="7"/>
      <c r="IRI11" s="7"/>
      <c r="IRP11" s="7"/>
      <c r="IRW11" s="7"/>
      <c r="ISD11" s="7"/>
      <c r="ISK11" s="7"/>
      <c r="ISR11" s="7"/>
      <c r="ISY11" s="7"/>
      <c r="ITF11" s="7"/>
      <c r="ITM11" s="7"/>
      <c r="ITT11" s="7"/>
      <c r="IUA11" s="7"/>
      <c r="IUH11" s="7"/>
      <c r="IUO11" s="7"/>
      <c r="IUV11" s="7"/>
      <c r="IVC11" s="7"/>
      <c r="IVJ11" s="7"/>
      <c r="IVQ11" s="7"/>
      <c r="IVX11" s="7"/>
      <c r="IWE11" s="7"/>
      <c r="IWL11" s="7"/>
      <c r="IWS11" s="7"/>
      <c r="IWZ11" s="7"/>
      <c r="IXG11" s="7"/>
      <c r="IXN11" s="7"/>
      <c r="IXU11" s="7"/>
      <c r="IYB11" s="7"/>
      <c r="IYI11" s="7"/>
      <c r="IYP11" s="7"/>
      <c r="IYW11" s="7"/>
      <c r="IZD11" s="7"/>
      <c r="IZK11" s="7"/>
      <c r="IZR11" s="7"/>
      <c r="IZY11" s="7"/>
      <c r="JAF11" s="7"/>
      <c r="JAM11" s="7"/>
      <c r="JAT11" s="7"/>
      <c r="JBA11" s="7"/>
      <c r="JBH11" s="7"/>
      <c r="JBO11" s="7"/>
      <c r="JBV11" s="7"/>
      <c r="JCC11" s="7"/>
      <c r="JCJ11" s="7"/>
      <c r="JCQ11" s="7"/>
      <c r="JCX11" s="7"/>
      <c r="JDE11" s="7"/>
      <c r="JDL11" s="7"/>
      <c r="JDS11" s="7"/>
      <c r="JDZ11" s="7"/>
      <c r="JEG11" s="7"/>
      <c r="JEN11" s="7"/>
      <c r="JEU11" s="7"/>
      <c r="JFB11" s="7"/>
      <c r="JFI11" s="7"/>
      <c r="JFP11" s="7"/>
      <c r="JFW11" s="7"/>
      <c r="JGD11" s="7"/>
      <c r="JGK11" s="7"/>
      <c r="JGR11" s="7"/>
      <c r="JGY11" s="7"/>
      <c r="JHF11" s="7"/>
      <c r="JHM11" s="7"/>
      <c r="JHT11" s="7"/>
      <c r="JIA11" s="7"/>
      <c r="JIH11" s="7"/>
      <c r="JIO11" s="7"/>
      <c r="JIV11" s="7"/>
      <c r="JJC11" s="7"/>
      <c r="JJJ11" s="7"/>
      <c r="JJQ11" s="7"/>
      <c r="JJX11" s="7"/>
      <c r="JKE11" s="7"/>
      <c r="JKL11" s="7"/>
      <c r="JKS11" s="7"/>
      <c r="JKZ11" s="7"/>
      <c r="JLG11" s="7"/>
      <c r="JLN11" s="7"/>
      <c r="JLU11" s="7"/>
      <c r="JMB11" s="7"/>
      <c r="JMI11" s="7"/>
      <c r="JMP11" s="7"/>
      <c r="JMW11" s="7"/>
      <c r="JND11" s="7"/>
      <c r="JNK11" s="7"/>
      <c r="JNR11" s="7"/>
      <c r="JNY11" s="7"/>
      <c r="JOF11" s="7"/>
      <c r="JOM11" s="7"/>
      <c r="JOT11" s="7"/>
      <c r="JPA11" s="7"/>
      <c r="JPH11" s="7"/>
      <c r="JPO11" s="7"/>
      <c r="JPV11" s="7"/>
      <c r="JQC11" s="7"/>
      <c r="JQJ11" s="7"/>
      <c r="JQQ11" s="7"/>
      <c r="JQX11" s="7"/>
      <c r="JRE11" s="7"/>
      <c r="JRL11" s="7"/>
      <c r="JRS11" s="7"/>
      <c r="JRZ11" s="7"/>
      <c r="JSG11" s="7"/>
      <c r="JSN11" s="7"/>
      <c r="JSU11" s="7"/>
      <c r="JTB11" s="7"/>
      <c r="JTI11" s="7"/>
      <c r="JTP11" s="7"/>
      <c r="JTW11" s="7"/>
      <c r="JUD11" s="7"/>
      <c r="JUK11" s="7"/>
      <c r="JUR11" s="7"/>
      <c r="JUY11" s="7"/>
      <c r="JVF11" s="7"/>
      <c r="JVM11" s="7"/>
      <c r="JVT11" s="7"/>
      <c r="JWA11" s="7"/>
      <c r="JWH11" s="7"/>
      <c r="JWO11" s="7"/>
      <c r="JWV11" s="7"/>
      <c r="JXC11" s="7"/>
      <c r="JXJ11" s="7"/>
      <c r="JXQ11" s="7"/>
      <c r="JXX11" s="7"/>
      <c r="JYE11" s="7"/>
      <c r="JYL11" s="7"/>
      <c r="JYS11" s="7"/>
      <c r="JYZ11" s="7"/>
      <c r="JZG11" s="7"/>
      <c r="JZN11" s="7"/>
      <c r="JZU11" s="7"/>
      <c r="KAB11" s="7"/>
      <c r="KAI11" s="7"/>
      <c r="KAP11" s="7"/>
      <c r="KAW11" s="7"/>
      <c r="KBD11" s="7"/>
      <c r="KBK11" s="7"/>
      <c r="KBR11" s="7"/>
      <c r="KBY11" s="7"/>
      <c r="KCF11" s="7"/>
      <c r="KCM11" s="7"/>
      <c r="KCT11" s="7"/>
      <c r="KDA11" s="7"/>
      <c r="KDH11" s="7"/>
      <c r="KDO11" s="7"/>
      <c r="KDV11" s="7"/>
      <c r="KEC11" s="7"/>
      <c r="KEJ11" s="7"/>
      <c r="KEQ11" s="7"/>
      <c r="KEX11" s="7"/>
      <c r="KFE11" s="7"/>
      <c r="KFL11" s="7"/>
      <c r="KFS11" s="7"/>
      <c r="KFZ11" s="7"/>
      <c r="KGG11" s="7"/>
      <c r="KGN11" s="7"/>
      <c r="KGU11" s="7"/>
      <c r="KHB11" s="7"/>
      <c r="KHI11" s="7"/>
      <c r="KHP11" s="7"/>
      <c r="KHW11" s="7"/>
      <c r="KID11" s="7"/>
      <c r="KIK11" s="7"/>
      <c r="KIR11" s="7"/>
      <c r="KIY11" s="7"/>
      <c r="KJF11" s="7"/>
      <c r="KJM11" s="7"/>
      <c r="KJT11" s="7"/>
      <c r="KKA11" s="7"/>
      <c r="KKH11" s="7"/>
      <c r="KKO11" s="7"/>
      <c r="KKV11" s="7"/>
      <c r="KLC11" s="7"/>
      <c r="KLJ11" s="7"/>
      <c r="KLQ11" s="7"/>
      <c r="KLX11" s="7"/>
      <c r="KME11" s="7"/>
      <c r="KML11" s="7"/>
      <c r="KMS11" s="7"/>
      <c r="KMZ11" s="7"/>
      <c r="KNG11" s="7"/>
      <c r="KNN11" s="7"/>
      <c r="KNU11" s="7"/>
      <c r="KOB11" s="7"/>
      <c r="KOI11" s="7"/>
      <c r="KOP11" s="7"/>
      <c r="KOW11" s="7"/>
      <c r="KPD11" s="7"/>
      <c r="KPK11" s="7"/>
      <c r="KPR11" s="7"/>
      <c r="KPY11" s="7"/>
      <c r="KQF11" s="7"/>
      <c r="KQM11" s="7"/>
      <c r="KQT11" s="7"/>
      <c r="KRA11" s="7"/>
      <c r="KRH11" s="7"/>
      <c r="KRO11" s="7"/>
      <c r="KRV11" s="7"/>
      <c r="KSC11" s="7"/>
      <c r="KSJ11" s="7"/>
      <c r="KSQ11" s="7"/>
      <c r="KSX11" s="7"/>
      <c r="KTE11" s="7"/>
      <c r="KTL11" s="7"/>
      <c r="KTS11" s="7"/>
      <c r="KTZ11" s="7"/>
      <c r="KUG11" s="7"/>
      <c r="KUN11" s="7"/>
      <c r="KUU11" s="7"/>
      <c r="KVB11" s="7"/>
      <c r="KVI11" s="7"/>
      <c r="KVP11" s="7"/>
      <c r="KVW11" s="7"/>
      <c r="KWD11" s="7"/>
      <c r="KWK11" s="7"/>
      <c r="KWR11" s="7"/>
      <c r="KWY11" s="7"/>
      <c r="KXF11" s="7"/>
      <c r="KXM11" s="7"/>
      <c r="KXT11" s="7"/>
      <c r="KYA11" s="7"/>
      <c r="KYH11" s="7"/>
      <c r="KYO11" s="7"/>
      <c r="KYV11" s="7"/>
      <c r="KZC11" s="7"/>
      <c r="KZJ11" s="7"/>
      <c r="KZQ11" s="7"/>
      <c r="KZX11" s="7"/>
      <c r="LAE11" s="7"/>
      <c r="LAL11" s="7"/>
      <c r="LAS11" s="7"/>
      <c r="LAZ11" s="7"/>
      <c r="LBG11" s="7"/>
      <c r="LBN11" s="7"/>
      <c r="LBU11" s="7"/>
      <c r="LCB11" s="7"/>
      <c r="LCI11" s="7"/>
      <c r="LCP11" s="7"/>
      <c r="LCW11" s="7"/>
      <c r="LDD11" s="7"/>
      <c r="LDK11" s="7"/>
      <c r="LDR11" s="7"/>
      <c r="LDY11" s="7"/>
      <c r="LEF11" s="7"/>
      <c r="LEM11" s="7"/>
      <c r="LET11" s="7"/>
      <c r="LFA11" s="7"/>
      <c r="LFH11" s="7"/>
      <c r="LFO11" s="7"/>
      <c r="LFV11" s="7"/>
      <c r="LGC11" s="7"/>
      <c r="LGJ11" s="7"/>
      <c r="LGQ11" s="7"/>
      <c r="LGX11" s="7"/>
      <c r="LHE11" s="7"/>
      <c r="LHL11" s="7"/>
      <c r="LHS11" s="7"/>
      <c r="LHZ11" s="7"/>
      <c r="LIG11" s="7"/>
      <c r="LIN11" s="7"/>
      <c r="LIU11" s="7"/>
      <c r="LJB11" s="7"/>
      <c r="LJI11" s="7"/>
      <c r="LJP11" s="7"/>
      <c r="LJW11" s="7"/>
      <c r="LKD11" s="7"/>
      <c r="LKK11" s="7"/>
      <c r="LKR11" s="7"/>
      <c r="LKY11" s="7"/>
      <c r="LLF11" s="7"/>
      <c r="LLM11" s="7"/>
      <c r="LLT11" s="7"/>
      <c r="LMA11" s="7"/>
      <c r="LMH11" s="7"/>
      <c r="LMO11" s="7"/>
      <c r="LMV11" s="7"/>
      <c r="LNC11" s="7"/>
      <c r="LNJ11" s="7"/>
      <c r="LNQ11" s="7"/>
      <c r="LNX11" s="7"/>
      <c r="LOE11" s="7"/>
      <c r="LOL11" s="7"/>
      <c r="LOS11" s="7"/>
      <c r="LOZ11" s="7"/>
      <c r="LPG11" s="7"/>
      <c r="LPN11" s="7"/>
      <c r="LPU11" s="7"/>
      <c r="LQB11" s="7"/>
      <c r="LQI11" s="7"/>
      <c r="LQP11" s="7"/>
      <c r="LQW11" s="7"/>
      <c r="LRD11" s="7"/>
      <c r="LRK11" s="7"/>
      <c r="LRR11" s="7"/>
      <c r="LRY11" s="7"/>
      <c r="LSF11" s="7"/>
      <c r="LSM11" s="7"/>
      <c r="LST11" s="7"/>
      <c r="LTA11" s="7"/>
      <c r="LTH11" s="7"/>
      <c r="LTO11" s="7"/>
      <c r="LTV11" s="7"/>
      <c r="LUC11" s="7"/>
      <c r="LUJ11" s="7"/>
      <c r="LUQ11" s="7"/>
      <c r="LUX11" s="7"/>
      <c r="LVE11" s="7"/>
      <c r="LVL11" s="7"/>
      <c r="LVS11" s="7"/>
      <c r="LVZ11" s="7"/>
      <c r="LWG11" s="7"/>
      <c r="LWN11" s="7"/>
      <c r="LWU11" s="7"/>
      <c r="LXB11" s="7"/>
      <c r="LXI11" s="7"/>
      <c r="LXP11" s="7"/>
      <c r="LXW11" s="7"/>
      <c r="LYD11" s="7"/>
      <c r="LYK11" s="7"/>
      <c r="LYR11" s="7"/>
      <c r="LYY11" s="7"/>
      <c r="LZF11" s="7"/>
      <c r="LZM11" s="7"/>
      <c r="LZT11" s="7"/>
      <c r="MAA11" s="7"/>
      <c r="MAH11" s="7"/>
      <c r="MAO11" s="7"/>
      <c r="MAV11" s="7"/>
      <c r="MBC11" s="7"/>
      <c r="MBJ11" s="7"/>
      <c r="MBQ11" s="7"/>
      <c r="MBX11" s="7"/>
      <c r="MCE11" s="7"/>
      <c r="MCL11" s="7"/>
      <c r="MCS11" s="7"/>
      <c r="MCZ11" s="7"/>
      <c r="MDG11" s="7"/>
      <c r="MDN11" s="7"/>
      <c r="MDU11" s="7"/>
      <c r="MEB11" s="7"/>
      <c r="MEI11" s="7"/>
      <c r="MEP11" s="7"/>
      <c r="MEW11" s="7"/>
      <c r="MFD11" s="7"/>
      <c r="MFK11" s="7"/>
      <c r="MFR11" s="7"/>
      <c r="MFY11" s="7"/>
      <c r="MGF11" s="7"/>
      <c r="MGM11" s="7"/>
      <c r="MGT11" s="7"/>
      <c r="MHA11" s="7"/>
      <c r="MHH11" s="7"/>
      <c r="MHO11" s="7"/>
      <c r="MHV11" s="7"/>
      <c r="MIC11" s="7"/>
      <c r="MIJ11" s="7"/>
      <c r="MIQ11" s="7"/>
      <c r="MIX11" s="7"/>
      <c r="MJE11" s="7"/>
      <c r="MJL11" s="7"/>
      <c r="MJS11" s="7"/>
      <c r="MJZ11" s="7"/>
      <c r="MKG11" s="7"/>
      <c r="MKN11" s="7"/>
      <c r="MKU11" s="7"/>
      <c r="MLB11" s="7"/>
      <c r="MLI11" s="7"/>
      <c r="MLP11" s="7"/>
      <c r="MLW11" s="7"/>
      <c r="MMD11" s="7"/>
      <c r="MMK11" s="7"/>
      <c r="MMR11" s="7"/>
      <c r="MMY11" s="7"/>
      <c r="MNF11" s="7"/>
      <c r="MNM11" s="7"/>
      <c r="MNT11" s="7"/>
      <c r="MOA11" s="7"/>
      <c r="MOH11" s="7"/>
      <c r="MOO11" s="7"/>
      <c r="MOV11" s="7"/>
      <c r="MPC11" s="7"/>
      <c r="MPJ11" s="7"/>
      <c r="MPQ11" s="7"/>
      <c r="MPX11" s="7"/>
      <c r="MQE11" s="7"/>
      <c r="MQL11" s="7"/>
      <c r="MQS11" s="7"/>
      <c r="MQZ11" s="7"/>
      <c r="MRG11" s="7"/>
      <c r="MRN11" s="7"/>
      <c r="MRU11" s="7"/>
      <c r="MSB11" s="7"/>
      <c r="MSI11" s="7"/>
      <c r="MSP11" s="7"/>
      <c r="MSW11" s="7"/>
      <c r="MTD11" s="7"/>
      <c r="MTK11" s="7"/>
      <c r="MTR11" s="7"/>
      <c r="MTY11" s="7"/>
      <c r="MUF11" s="7"/>
      <c r="MUM11" s="7"/>
      <c r="MUT11" s="7"/>
      <c r="MVA11" s="7"/>
      <c r="MVH11" s="7"/>
      <c r="MVO11" s="7"/>
      <c r="MVV11" s="7"/>
      <c r="MWC11" s="7"/>
      <c r="MWJ11" s="7"/>
      <c r="MWQ11" s="7"/>
      <c r="MWX11" s="7"/>
      <c r="MXE11" s="7"/>
      <c r="MXL11" s="7"/>
      <c r="MXS11" s="7"/>
      <c r="MXZ11" s="7"/>
      <c r="MYG11" s="7"/>
      <c r="MYN11" s="7"/>
      <c r="MYU11" s="7"/>
      <c r="MZB11" s="7"/>
      <c r="MZI11" s="7"/>
      <c r="MZP11" s="7"/>
      <c r="MZW11" s="7"/>
      <c r="NAD11" s="7"/>
      <c r="NAK11" s="7"/>
      <c r="NAR11" s="7"/>
      <c r="NAY11" s="7"/>
      <c r="NBF11" s="7"/>
      <c r="NBM11" s="7"/>
      <c r="NBT11" s="7"/>
      <c r="NCA11" s="7"/>
      <c r="NCH11" s="7"/>
      <c r="NCO11" s="7"/>
      <c r="NCV11" s="7"/>
      <c r="NDC11" s="7"/>
      <c r="NDJ11" s="7"/>
      <c r="NDQ11" s="7"/>
      <c r="NDX11" s="7"/>
      <c r="NEE11" s="7"/>
      <c r="NEL11" s="7"/>
      <c r="NES11" s="7"/>
      <c r="NEZ11" s="7"/>
      <c r="NFG11" s="7"/>
      <c r="NFN11" s="7"/>
      <c r="NFU11" s="7"/>
      <c r="NGB11" s="7"/>
      <c r="NGI11" s="7"/>
      <c r="NGP11" s="7"/>
      <c r="NGW11" s="7"/>
      <c r="NHD11" s="7"/>
      <c r="NHK11" s="7"/>
      <c r="NHR11" s="7"/>
      <c r="NHY11" s="7"/>
      <c r="NIF11" s="7"/>
      <c r="NIM11" s="7"/>
      <c r="NIT11" s="7"/>
      <c r="NJA11" s="7"/>
      <c r="NJH11" s="7"/>
      <c r="NJO11" s="7"/>
      <c r="NJV11" s="7"/>
      <c r="NKC11" s="7"/>
      <c r="NKJ11" s="7"/>
      <c r="NKQ11" s="7"/>
      <c r="NKX11" s="7"/>
      <c r="NLE11" s="7"/>
      <c r="NLL11" s="7"/>
      <c r="NLS11" s="7"/>
      <c r="NLZ11" s="7"/>
      <c r="NMG11" s="7"/>
      <c r="NMN11" s="7"/>
      <c r="NMU11" s="7"/>
      <c r="NNB11" s="7"/>
      <c r="NNI11" s="7"/>
      <c r="NNP11" s="7"/>
      <c r="NNW11" s="7"/>
      <c r="NOD11" s="7"/>
      <c r="NOK11" s="7"/>
      <c r="NOR11" s="7"/>
      <c r="NOY11" s="7"/>
      <c r="NPF11" s="7"/>
      <c r="NPM11" s="7"/>
      <c r="NPT11" s="7"/>
      <c r="NQA11" s="7"/>
      <c r="NQH11" s="7"/>
      <c r="NQO11" s="7"/>
      <c r="NQV11" s="7"/>
      <c r="NRC11" s="7"/>
      <c r="NRJ11" s="7"/>
      <c r="NRQ11" s="7"/>
      <c r="NRX11" s="7"/>
      <c r="NSE11" s="7"/>
      <c r="NSL11" s="7"/>
      <c r="NSS11" s="7"/>
      <c r="NSZ11" s="7"/>
      <c r="NTG11" s="7"/>
      <c r="NTN11" s="7"/>
      <c r="NTU11" s="7"/>
      <c r="NUB11" s="7"/>
      <c r="NUI11" s="7"/>
      <c r="NUP11" s="7"/>
      <c r="NUW11" s="7"/>
      <c r="NVD11" s="7"/>
      <c r="NVK11" s="7"/>
      <c r="NVR11" s="7"/>
      <c r="NVY11" s="7"/>
      <c r="NWF11" s="7"/>
      <c r="NWM11" s="7"/>
      <c r="NWT11" s="7"/>
      <c r="NXA11" s="7"/>
      <c r="NXH11" s="7"/>
      <c r="NXO11" s="7"/>
      <c r="NXV11" s="7"/>
      <c r="NYC11" s="7"/>
      <c r="NYJ11" s="7"/>
      <c r="NYQ11" s="7"/>
      <c r="NYX11" s="7"/>
      <c r="NZE11" s="7"/>
      <c r="NZL11" s="7"/>
      <c r="NZS11" s="7"/>
      <c r="NZZ11" s="7"/>
      <c r="OAG11" s="7"/>
      <c r="OAN11" s="7"/>
      <c r="OAU11" s="7"/>
      <c r="OBB11" s="7"/>
      <c r="OBI11" s="7"/>
      <c r="OBP11" s="7"/>
      <c r="OBW11" s="7"/>
      <c r="OCD11" s="7"/>
      <c r="OCK11" s="7"/>
      <c r="OCR11" s="7"/>
      <c r="OCY11" s="7"/>
      <c r="ODF11" s="7"/>
      <c r="ODM11" s="7"/>
      <c r="ODT11" s="7"/>
      <c r="OEA11" s="7"/>
      <c r="OEH11" s="7"/>
      <c r="OEO11" s="7"/>
      <c r="OEV11" s="7"/>
      <c r="OFC11" s="7"/>
      <c r="OFJ11" s="7"/>
      <c r="OFQ11" s="7"/>
      <c r="OFX11" s="7"/>
      <c r="OGE11" s="7"/>
      <c r="OGL11" s="7"/>
      <c r="OGS11" s="7"/>
      <c r="OGZ11" s="7"/>
      <c r="OHG11" s="7"/>
      <c r="OHN11" s="7"/>
      <c r="OHU11" s="7"/>
      <c r="OIB11" s="7"/>
      <c r="OII11" s="7"/>
      <c r="OIP11" s="7"/>
      <c r="OIW11" s="7"/>
      <c r="OJD11" s="7"/>
      <c r="OJK11" s="7"/>
      <c r="OJR11" s="7"/>
      <c r="OJY11" s="7"/>
      <c r="OKF11" s="7"/>
      <c r="OKM11" s="7"/>
      <c r="OKT11" s="7"/>
      <c r="OLA11" s="7"/>
      <c r="OLH11" s="7"/>
      <c r="OLO11" s="7"/>
      <c r="OLV11" s="7"/>
      <c r="OMC11" s="7"/>
      <c r="OMJ11" s="7"/>
      <c r="OMQ11" s="7"/>
      <c r="OMX11" s="7"/>
      <c r="ONE11" s="7"/>
      <c r="ONL11" s="7"/>
      <c r="ONS11" s="7"/>
      <c r="ONZ11" s="7"/>
      <c r="OOG11" s="7"/>
      <c r="OON11" s="7"/>
      <c r="OOU11" s="7"/>
      <c r="OPB11" s="7"/>
      <c r="OPI11" s="7"/>
      <c r="OPP11" s="7"/>
      <c r="OPW11" s="7"/>
      <c r="OQD11" s="7"/>
      <c r="OQK11" s="7"/>
      <c r="OQR11" s="7"/>
      <c r="OQY11" s="7"/>
      <c r="ORF11" s="7"/>
      <c r="ORM11" s="7"/>
      <c r="ORT11" s="7"/>
      <c r="OSA11" s="7"/>
      <c r="OSH11" s="7"/>
      <c r="OSO11" s="7"/>
      <c r="OSV11" s="7"/>
      <c r="OTC11" s="7"/>
      <c r="OTJ11" s="7"/>
      <c r="OTQ11" s="7"/>
      <c r="OTX11" s="7"/>
      <c r="OUE11" s="7"/>
      <c r="OUL11" s="7"/>
      <c r="OUS11" s="7"/>
      <c r="OUZ11" s="7"/>
      <c r="OVG11" s="7"/>
      <c r="OVN11" s="7"/>
      <c r="OVU11" s="7"/>
      <c r="OWB11" s="7"/>
      <c r="OWI11" s="7"/>
      <c r="OWP11" s="7"/>
      <c r="OWW11" s="7"/>
      <c r="OXD11" s="7"/>
      <c r="OXK11" s="7"/>
      <c r="OXR11" s="7"/>
      <c r="OXY11" s="7"/>
      <c r="OYF11" s="7"/>
      <c r="OYM11" s="7"/>
      <c r="OYT11" s="7"/>
      <c r="OZA11" s="7"/>
      <c r="OZH11" s="7"/>
      <c r="OZO11" s="7"/>
      <c r="OZV11" s="7"/>
      <c r="PAC11" s="7"/>
      <c r="PAJ11" s="7"/>
      <c r="PAQ11" s="7"/>
      <c r="PAX11" s="7"/>
      <c r="PBE11" s="7"/>
      <c r="PBL11" s="7"/>
      <c r="PBS11" s="7"/>
      <c r="PBZ11" s="7"/>
      <c r="PCG11" s="7"/>
      <c r="PCN11" s="7"/>
      <c r="PCU11" s="7"/>
      <c r="PDB11" s="7"/>
      <c r="PDI11" s="7"/>
      <c r="PDP11" s="7"/>
      <c r="PDW11" s="7"/>
      <c r="PED11" s="7"/>
      <c r="PEK11" s="7"/>
      <c r="PER11" s="7"/>
      <c r="PEY11" s="7"/>
      <c r="PFF11" s="7"/>
      <c r="PFM11" s="7"/>
      <c r="PFT11" s="7"/>
      <c r="PGA11" s="7"/>
      <c r="PGH11" s="7"/>
      <c r="PGO11" s="7"/>
      <c r="PGV11" s="7"/>
      <c r="PHC11" s="7"/>
      <c r="PHJ11" s="7"/>
      <c r="PHQ11" s="7"/>
      <c r="PHX11" s="7"/>
      <c r="PIE11" s="7"/>
      <c r="PIL11" s="7"/>
      <c r="PIS11" s="7"/>
      <c r="PIZ11" s="7"/>
      <c r="PJG11" s="7"/>
      <c r="PJN11" s="7"/>
      <c r="PJU11" s="7"/>
      <c r="PKB11" s="7"/>
      <c r="PKI11" s="7"/>
      <c r="PKP11" s="7"/>
      <c r="PKW11" s="7"/>
      <c r="PLD11" s="7"/>
      <c r="PLK11" s="7"/>
      <c r="PLR11" s="7"/>
      <c r="PLY11" s="7"/>
      <c r="PMF11" s="7"/>
      <c r="PMM11" s="7"/>
      <c r="PMT11" s="7"/>
      <c r="PNA11" s="7"/>
      <c r="PNH11" s="7"/>
      <c r="PNO11" s="7"/>
      <c r="PNV11" s="7"/>
      <c r="POC11" s="7"/>
      <c r="POJ11" s="7"/>
      <c r="POQ11" s="7"/>
      <c r="POX11" s="7"/>
      <c r="PPE11" s="7"/>
      <c r="PPL11" s="7"/>
      <c r="PPS11" s="7"/>
      <c r="PPZ11" s="7"/>
      <c r="PQG11" s="7"/>
      <c r="PQN11" s="7"/>
      <c r="PQU11" s="7"/>
      <c r="PRB11" s="7"/>
      <c r="PRI11" s="7"/>
      <c r="PRP11" s="7"/>
      <c r="PRW11" s="7"/>
      <c r="PSD11" s="7"/>
      <c r="PSK11" s="7"/>
      <c r="PSR11" s="7"/>
      <c r="PSY11" s="7"/>
      <c r="PTF11" s="7"/>
      <c r="PTM11" s="7"/>
      <c r="PTT11" s="7"/>
      <c r="PUA11" s="7"/>
      <c r="PUH11" s="7"/>
      <c r="PUO11" s="7"/>
      <c r="PUV11" s="7"/>
      <c r="PVC11" s="7"/>
      <c r="PVJ11" s="7"/>
      <c r="PVQ11" s="7"/>
      <c r="PVX11" s="7"/>
      <c r="PWE11" s="7"/>
      <c r="PWL11" s="7"/>
      <c r="PWS11" s="7"/>
      <c r="PWZ11" s="7"/>
      <c r="PXG11" s="7"/>
      <c r="PXN11" s="7"/>
      <c r="PXU11" s="7"/>
      <c r="PYB11" s="7"/>
      <c r="PYI11" s="7"/>
      <c r="PYP11" s="7"/>
      <c r="PYW11" s="7"/>
      <c r="PZD11" s="7"/>
      <c r="PZK11" s="7"/>
      <c r="PZR11" s="7"/>
      <c r="PZY11" s="7"/>
      <c r="QAF11" s="7"/>
      <c r="QAM11" s="7"/>
      <c r="QAT11" s="7"/>
      <c r="QBA11" s="7"/>
      <c r="QBH11" s="7"/>
      <c r="QBO11" s="7"/>
      <c r="QBV11" s="7"/>
      <c r="QCC11" s="7"/>
      <c r="QCJ11" s="7"/>
      <c r="QCQ11" s="7"/>
      <c r="QCX11" s="7"/>
      <c r="QDE11" s="7"/>
      <c r="QDL11" s="7"/>
      <c r="QDS11" s="7"/>
      <c r="QDZ11" s="7"/>
      <c r="QEG11" s="7"/>
      <c r="QEN11" s="7"/>
      <c r="QEU11" s="7"/>
      <c r="QFB11" s="7"/>
      <c r="QFI11" s="7"/>
      <c r="QFP11" s="7"/>
      <c r="QFW11" s="7"/>
      <c r="QGD11" s="7"/>
      <c r="QGK11" s="7"/>
      <c r="QGR11" s="7"/>
      <c r="QGY11" s="7"/>
      <c r="QHF11" s="7"/>
      <c r="QHM11" s="7"/>
      <c r="QHT11" s="7"/>
      <c r="QIA11" s="7"/>
      <c r="QIH11" s="7"/>
      <c r="QIO11" s="7"/>
      <c r="QIV11" s="7"/>
      <c r="QJC11" s="7"/>
      <c r="QJJ11" s="7"/>
      <c r="QJQ11" s="7"/>
      <c r="QJX11" s="7"/>
      <c r="QKE11" s="7"/>
      <c r="QKL11" s="7"/>
      <c r="QKS11" s="7"/>
      <c r="QKZ11" s="7"/>
      <c r="QLG11" s="7"/>
      <c r="QLN11" s="7"/>
      <c r="QLU11" s="7"/>
      <c r="QMB11" s="7"/>
      <c r="QMI11" s="7"/>
      <c r="QMP11" s="7"/>
      <c r="QMW11" s="7"/>
      <c r="QND11" s="7"/>
      <c r="QNK11" s="7"/>
      <c r="QNR11" s="7"/>
      <c r="QNY11" s="7"/>
      <c r="QOF11" s="7"/>
      <c r="QOM11" s="7"/>
      <c r="QOT11" s="7"/>
      <c r="QPA11" s="7"/>
      <c r="QPH11" s="7"/>
      <c r="QPO11" s="7"/>
      <c r="QPV11" s="7"/>
      <c r="QQC11" s="7"/>
      <c r="QQJ11" s="7"/>
      <c r="QQQ11" s="7"/>
      <c r="QQX11" s="7"/>
      <c r="QRE11" s="7"/>
      <c r="QRL11" s="7"/>
      <c r="QRS11" s="7"/>
      <c r="QRZ11" s="7"/>
      <c r="QSG11" s="7"/>
      <c r="QSN11" s="7"/>
      <c r="QSU11" s="7"/>
      <c r="QTB11" s="7"/>
      <c r="QTI11" s="7"/>
      <c r="QTP11" s="7"/>
      <c r="QTW11" s="7"/>
      <c r="QUD11" s="7"/>
      <c r="QUK11" s="7"/>
      <c r="QUR11" s="7"/>
      <c r="QUY11" s="7"/>
      <c r="QVF11" s="7"/>
      <c r="QVM11" s="7"/>
      <c r="QVT11" s="7"/>
      <c r="QWA11" s="7"/>
      <c r="QWH11" s="7"/>
      <c r="QWO11" s="7"/>
      <c r="QWV11" s="7"/>
      <c r="QXC11" s="7"/>
      <c r="QXJ11" s="7"/>
      <c r="QXQ11" s="7"/>
      <c r="QXX11" s="7"/>
      <c r="QYE11" s="7"/>
      <c r="QYL11" s="7"/>
      <c r="QYS11" s="7"/>
      <c r="QYZ11" s="7"/>
      <c r="QZG11" s="7"/>
      <c r="QZN11" s="7"/>
      <c r="QZU11" s="7"/>
      <c r="RAB11" s="7"/>
      <c r="RAI11" s="7"/>
      <c r="RAP11" s="7"/>
      <c r="RAW11" s="7"/>
      <c r="RBD11" s="7"/>
      <c r="RBK11" s="7"/>
      <c r="RBR11" s="7"/>
      <c r="RBY11" s="7"/>
      <c r="RCF11" s="7"/>
      <c r="RCM11" s="7"/>
      <c r="RCT11" s="7"/>
      <c r="RDA11" s="7"/>
      <c r="RDH11" s="7"/>
      <c r="RDO11" s="7"/>
      <c r="RDV11" s="7"/>
      <c r="REC11" s="7"/>
      <c r="REJ11" s="7"/>
      <c r="REQ11" s="7"/>
      <c r="REX11" s="7"/>
      <c r="RFE11" s="7"/>
      <c r="RFL11" s="7"/>
      <c r="RFS11" s="7"/>
      <c r="RFZ11" s="7"/>
      <c r="RGG11" s="7"/>
      <c r="RGN11" s="7"/>
      <c r="RGU11" s="7"/>
      <c r="RHB11" s="7"/>
      <c r="RHI11" s="7"/>
      <c r="RHP11" s="7"/>
      <c r="RHW11" s="7"/>
      <c r="RID11" s="7"/>
      <c r="RIK11" s="7"/>
      <c r="RIR11" s="7"/>
      <c r="RIY11" s="7"/>
      <c r="RJF11" s="7"/>
      <c r="RJM11" s="7"/>
      <c r="RJT11" s="7"/>
      <c r="RKA11" s="7"/>
      <c r="RKH11" s="7"/>
      <c r="RKO11" s="7"/>
      <c r="RKV11" s="7"/>
      <c r="RLC11" s="7"/>
      <c r="RLJ11" s="7"/>
      <c r="RLQ11" s="7"/>
      <c r="RLX11" s="7"/>
      <c r="RME11" s="7"/>
      <c r="RML11" s="7"/>
      <c r="RMS11" s="7"/>
      <c r="RMZ11" s="7"/>
      <c r="RNG11" s="7"/>
      <c r="RNN11" s="7"/>
      <c r="RNU11" s="7"/>
      <c r="ROB11" s="7"/>
      <c r="ROI11" s="7"/>
      <c r="ROP11" s="7"/>
      <c r="ROW11" s="7"/>
      <c r="RPD11" s="7"/>
      <c r="RPK11" s="7"/>
      <c r="RPR11" s="7"/>
      <c r="RPY11" s="7"/>
      <c r="RQF11" s="7"/>
      <c r="RQM11" s="7"/>
      <c r="RQT11" s="7"/>
      <c r="RRA11" s="7"/>
      <c r="RRH11" s="7"/>
      <c r="RRO11" s="7"/>
      <c r="RRV11" s="7"/>
      <c r="RSC11" s="7"/>
      <c r="RSJ11" s="7"/>
      <c r="RSQ11" s="7"/>
      <c r="RSX11" s="7"/>
      <c r="RTE11" s="7"/>
      <c r="RTL11" s="7"/>
      <c r="RTS11" s="7"/>
      <c r="RTZ11" s="7"/>
      <c r="RUG11" s="7"/>
      <c r="RUN11" s="7"/>
      <c r="RUU11" s="7"/>
      <c r="RVB11" s="7"/>
      <c r="RVI11" s="7"/>
      <c r="RVP11" s="7"/>
      <c r="RVW11" s="7"/>
      <c r="RWD11" s="7"/>
      <c r="RWK11" s="7"/>
      <c r="RWR11" s="7"/>
      <c r="RWY11" s="7"/>
      <c r="RXF11" s="7"/>
      <c r="RXM11" s="7"/>
      <c r="RXT11" s="7"/>
      <c r="RYA11" s="7"/>
      <c r="RYH11" s="7"/>
      <c r="RYO11" s="7"/>
      <c r="RYV11" s="7"/>
      <c r="RZC11" s="7"/>
      <c r="RZJ11" s="7"/>
      <c r="RZQ11" s="7"/>
      <c r="RZX11" s="7"/>
      <c r="SAE11" s="7"/>
      <c r="SAL11" s="7"/>
      <c r="SAS11" s="7"/>
      <c r="SAZ11" s="7"/>
      <c r="SBG11" s="7"/>
      <c r="SBN11" s="7"/>
      <c r="SBU11" s="7"/>
      <c r="SCB11" s="7"/>
      <c r="SCI11" s="7"/>
      <c r="SCP11" s="7"/>
      <c r="SCW11" s="7"/>
      <c r="SDD11" s="7"/>
      <c r="SDK11" s="7"/>
      <c r="SDR11" s="7"/>
      <c r="SDY11" s="7"/>
      <c r="SEF11" s="7"/>
      <c r="SEM11" s="7"/>
      <c r="SET11" s="7"/>
      <c r="SFA11" s="7"/>
      <c r="SFH11" s="7"/>
      <c r="SFO11" s="7"/>
      <c r="SFV11" s="7"/>
      <c r="SGC11" s="7"/>
      <c r="SGJ11" s="7"/>
      <c r="SGQ11" s="7"/>
      <c r="SGX11" s="7"/>
      <c r="SHE11" s="7"/>
      <c r="SHL11" s="7"/>
      <c r="SHS11" s="7"/>
      <c r="SHZ11" s="7"/>
      <c r="SIG11" s="7"/>
      <c r="SIN11" s="7"/>
      <c r="SIU11" s="7"/>
      <c r="SJB11" s="7"/>
      <c r="SJI11" s="7"/>
      <c r="SJP11" s="7"/>
      <c r="SJW11" s="7"/>
      <c r="SKD11" s="7"/>
      <c r="SKK11" s="7"/>
      <c r="SKR11" s="7"/>
      <c r="SKY11" s="7"/>
      <c r="SLF11" s="7"/>
      <c r="SLM11" s="7"/>
      <c r="SLT11" s="7"/>
      <c r="SMA11" s="7"/>
      <c r="SMH11" s="7"/>
      <c r="SMO11" s="7"/>
      <c r="SMV11" s="7"/>
      <c r="SNC11" s="7"/>
      <c r="SNJ11" s="7"/>
      <c r="SNQ11" s="7"/>
      <c r="SNX11" s="7"/>
      <c r="SOE11" s="7"/>
      <c r="SOL11" s="7"/>
      <c r="SOS11" s="7"/>
      <c r="SOZ11" s="7"/>
      <c r="SPG11" s="7"/>
      <c r="SPN11" s="7"/>
      <c r="SPU11" s="7"/>
      <c r="SQB11" s="7"/>
      <c r="SQI11" s="7"/>
      <c r="SQP11" s="7"/>
      <c r="SQW11" s="7"/>
      <c r="SRD11" s="7"/>
      <c r="SRK11" s="7"/>
      <c r="SRR11" s="7"/>
      <c r="SRY11" s="7"/>
      <c r="SSF11" s="7"/>
      <c r="SSM11" s="7"/>
      <c r="SST11" s="7"/>
      <c r="STA11" s="7"/>
      <c r="STH11" s="7"/>
      <c r="STO11" s="7"/>
      <c r="STV11" s="7"/>
      <c r="SUC11" s="7"/>
      <c r="SUJ11" s="7"/>
      <c r="SUQ11" s="7"/>
      <c r="SUX11" s="7"/>
      <c r="SVE11" s="7"/>
      <c r="SVL11" s="7"/>
      <c r="SVS11" s="7"/>
      <c r="SVZ11" s="7"/>
      <c r="SWG11" s="7"/>
      <c r="SWN11" s="7"/>
      <c r="SWU11" s="7"/>
      <c r="SXB11" s="7"/>
      <c r="SXI11" s="7"/>
      <c r="SXP11" s="7"/>
      <c r="SXW11" s="7"/>
      <c r="SYD11" s="7"/>
      <c r="SYK11" s="7"/>
      <c r="SYR11" s="7"/>
      <c r="SYY11" s="7"/>
      <c r="SZF11" s="7"/>
      <c r="SZM11" s="7"/>
      <c r="SZT11" s="7"/>
      <c r="TAA11" s="7"/>
      <c r="TAH11" s="7"/>
      <c r="TAO11" s="7"/>
      <c r="TAV11" s="7"/>
      <c r="TBC11" s="7"/>
      <c r="TBJ11" s="7"/>
      <c r="TBQ11" s="7"/>
      <c r="TBX11" s="7"/>
      <c r="TCE11" s="7"/>
      <c r="TCL11" s="7"/>
      <c r="TCS11" s="7"/>
      <c r="TCZ11" s="7"/>
      <c r="TDG11" s="7"/>
      <c r="TDN11" s="7"/>
      <c r="TDU11" s="7"/>
      <c r="TEB11" s="7"/>
      <c r="TEI11" s="7"/>
      <c r="TEP11" s="7"/>
      <c r="TEW11" s="7"/>
      <c r="TFD11" s="7"/>
      <c r="TFK11" s="7"/>
      <c r="TFR11" s="7"/>
      <c r="TFY11" s="7"/>
      <c r="TGF11" s="7"/>
      <c r="TGM11" s="7"/>
      <c r="TGT11" s="7"/>
      <c r="THA11" s="7"/>
      <c r="THH11" s="7"/>
      <c r="THO11" s="7"/>
      <c r="THV11" s="7"/>
      <c r="TIC11" s="7"/>
      <c r="TIJ11" s="7"/>
      <c r="TIQ11" s="7"/>
      <c r="TIX11" s="7"/>
      <c r="TJE11" s="7"/>
      <c r="TJL11" s="7"/>
      <c r="TJS11" s="7"/>
      <c r="TJZ11" s="7"/>
      <c r="TKG11" s="7"/>
      <c r="TKN11" s="7"/>
      <c r="TKU11" s="7"/>
      <c r="TLB11" s="7"/>
      <c r="TLI11" s="7"/>
      <c r="TLP11" s="7"/>
      <c r="TLW11" s="7"/>
      <c r="TMD11" s="7"/>
      <c r="TMK11" s="7"/>
      <c r="TMR11" s="7"/>
      <c r="TMY11" s="7"/>
      <c r="TNF11" s="7"/>
      <c r="TNM11" s="7"/>
      <c r="TNT11" s="7"/>
      <c r="TOA11" s="7"/>
      <c r="TOH11" s="7"/>
      <c r="TOO11" s="7"/>
      <c r="TOV11" s="7"/>
      <c r="TPC11" s="7"/>
      <c r="TPJ11" s="7"/>
      <c r="TPQ11" s="7"/>
      <c r="TPX11" s="7"/>
      <c r="TQE11" s="7"/>
      <c r="TQL11" s="7"/>
      <c r="TQS11" s="7"/>
      <c r="TQZ11" s="7"/>
      <c r="TRG11" s="7"/>
      <c r="TRN11" s="7"/>
      <c r="TRU11" s="7"/>
      <c r="TSB11" s="7"/>
      <c r="TSI11" s="7"/>
      <c r="TSP11" s="7"/>
      <c r="TSW11" s="7"/>
      <c r="TTD11" s="7"/>
      <c r="TTK11" s="7"/>
      <c r="TTR11" s="7"/>
      <c r="TTY11" s="7"/>
      <c r="TUF11" s="7"/>
      <c r="TUM11" s="7"/>
      <c r="TUT11" s="7"/>
      <c r="TVA11" s="7"/>
      <c r="TVH11" s="7"/>
      <c r="TVO11" s="7"/>
      <c r="TVV11" s="7"/>
      <c r="TWC11" s="7"/>
      <c r="TWJ11" s="7"/>
      <c r="TWQ11" s="7"/>
      <c r="TWX11" s="7"/>
      <c r="TXE11" s="7"/>
      <c r="TXL11" s="7"/>
      <c r="TXS11" s="7"/>
      <c r="TXZ11" s="7"/>
      <c r="TYG11" s="7"/>
      <c r="TYN11" s="7"/>
      <c r="TYU11" s="7"/>
      <c r="TZB11" s="7"/>
      <c r="TZI11" s="7"/>
      <c r="TZP11" s="7"/>
      <c r="TZW11" s="7"/>
      <c r="UAD11" s="7"/>
      <c r="UAK11" s="7"/>
      <c r="UAR11" s="7"/>
      <c r="UAY11" s="7"/>
      <c r="UBF11" s="7"/>
      <c r="UBM11" s="7"/>
      <c r="UBT11" s="7"/>
      <c r="UCA11" s="7"/>
      <c r="UCH11" s="7"/>
      <c r="UCO11" s="7"/>
      <c r="UCV11" s="7"/>
      <c r="UDC11" s="7"/>
      <c r="UDJ11" s="7"/>
      <c r="UDQ11" s="7"/>
      <c r="UDX11" s="7"/>
      <c r="UEE11" s="7"/>
      <c r="UEL11" s="7"/>
      <c r="UES11" s="7"/>
      <c r="UEZ11" s="7"/>
      <c r="UFG11" s="7"/>
      <c r="UFN11" s="7"/>
      <c r="UFU11" s="7"/>
      <c r="UGB11" s="7"/>
      <c r="UGI11" s="7"/>
      <c r="UGP11" s="7"/>
      <c r="UGW11" s="7"/>
      <c r="UHD11" s="7"/>
      <c r="UHK11" s="7"/>
      <c r="UHR11" s="7"/>
      <c r="UHY11" s="7"/>
      <c r="UIF11" s="7"/>
      <c r="UIM11" s="7"/>
      <c r="UIT11" s="7"/>
      <c r="UJA11" s="7"/>
      <c r="UJH11" s="7"/>
      <c r="UJO11" s="7"/>
      <c r="UJV11" s="7"/>
      <c r="UKC11" s="7"/>
      <c r="UKJ11" s="7"/>
      <c r="UKQ11" s="7"/>
      <c r="UKX11" s="7"/>
      <c r="ULE11" s="7"/>
      <c r="ULL11" s="7"/>
      <c r="ULS11" s="7"/>
      <c r="ULZ11" s="7"/>
      <c r="UMG11" s="7"/>
      <c r="UMN11" s="7"/>
      <c r="UMU11" s="7"/>
      <c r="UNB11" s="7"/>
      <c r="UNI11" s="7"/>
      <c r="UNP11" s="7"/>
      <c r="UNW11" s="7"/>
      <c r="UOD11" s="7"/>
      <c r="UOK11" s="7"/>
      <c r="UOR11" s="7"/>
      <c r="UOY11" s="7"/>
      <c r="UPF11" s="7"/>
      <c r="UPM11" s="7"/>
      <c r="UPT11" s="7"/>
      <c r="UQA11" s="7"/>
      <c r="UQH11" s="7"/>
      <c r="UQO11" s="7"/>
      <c r="UQV11" s="7"/>
      <c r="URC11" s="7"/>
      <c r="URJ11" s="7"/>
      <c r="URQ11" s="7"/>
      <c r="URX11" s="7"/>
      <c r="USE11" s="7"/>
      <c r="USL11" s="7"/>
      <c r="USS11" s="7"/>
      <c r="USZ11" s="7"/>
      <c r="UTG11" s="7"/>
      <c r="UTN11" s="7"/>
      <c r="UTU11" s="7"/>
      <c r="UUB11" s="7"/>
      <c r="UUI11" s="7"/>
      <c r="UUP11" s="7"/>
      <c r="UUW11" s="7"/>
      <c r="UVD11" s="7"/>
      <c r="UVK11" s="7"/>
      <c r="UVR11" s="7"/>
      <c r="UVY11" s="7"/>
      <c r="UWF11" s="7"/>
      <c r="UWM11" s="7"/>
      <c r="UWT11" s="7"/>
      <c r="UXA11" s="7"/>
      <c r="UXH11" s="7"/>
      <c r="UXO11" s="7"/>
      <c r="UXV11" s="7"/>
      <c r="UYC11" s="7"/>
      <c r="UYJ11" s="7"/>
      <c r="UYQ11" s="7"/>
      <c r="UYX11" s="7"/>
      <c r="UZE11" s="7"/>
      <c r="UZL11" s="7"/>
      <c r="UZS11" s="7"/>
      <c r="UZZ11" s="7"/>
      <c r="VAG11" s="7"/>
      <c r="VAN11" s="7"/>
      <c r="VAU11" s="7"/>
      <c r="VBB11" s="7"/>
      <c r="VBI11" s="7"/>
      <c r="VBP11" s="7"/>
      <c r="VBW11" s="7"/>
      <c r="VCD11" s="7"/>
      <c r="VCK11" s="7"/>
      <c r="VCR11" s="7"/>
      <c r="VCY11" s="7"/>
      <c r="VDF11" s="7"/>
      <c r="VDM11" s="7"/>
      <c r="VDT11" s="7"/>
      <c r="VEA11" s="7"/>
      <c r="VEH11" s="7"/>
      <c r="VEO11" s="7"/>
      <c r="VEV11" s="7"/>
      <c r="VFC11" s="7"/>
      <c r="VFJ11" s="7"/>
      <c r="VFQ11" s="7"/>
      <c r="VFX11" s="7"/>
      <c r="VGE11" s="7"/>
      <c r="VGL11" s="7"/>
      <c r="VGS11" s="7"/>
      <c r="VGZ11" s="7"/>
      <c r="VHG11" s="7"/>
      <c r="VHN11" s="7"/>
      <c r="VHU11" s="7"/>
      <c r="VIB11" s="7"/>
      <c r="VII11" s="7"/>
      <c r="VIP11" s="7"/>
      <c r="VIW11" s="7"/>
      <c r="VJD11" s="7"/>
      <c r="VJK11" s="7"/>
      <c r="VJR11" s="7"/>
      <c r="VJY11" s="7"/>
      <c r="VKF11" s="7"/>
      <c r="VKM11" s="7"/>
      <c r="VKT11" s="7"/>
      <c r="VLA11" s="7"/>
      <c r="VLH11" s="7"/>
      <c r="VLO11" s="7"/>
      <c r="VLV11" s="7"/>
      <c r="VMC11" s="7"/>
      <c r="VMJ11" s="7"/>
      <c r="VMQ11" s="7"/>
      <c r="VMX11" s="7"/>
      <c r="VNE11" s="7"/>
      <c r="VNL11" s="7"/>
      <c r="VNS11" s="7"/>
      <c r="VNZ11" s="7"/>
      <c r="VOG11" s="7"/>
      <c r="VON11" s="7"/>
      <c r="VOU11" s="7"/>
      <c r="VPB11" s="7"/>
      <c r="VPI11" s="7"/>
      <c r="VPP11" s="7"/>
      <c r="VPW11" s="7"/>
      <c r="VQD11" s="7"/>
      <c r="VQK11" s="7"/>
      <c r="VQR11" s="7"/>
      <c r="VQY11" s="7"/>
      <c r="VRF11" s="7"/>
      <c r="VRM11" s="7"/>
      <c r="VRT11" s="7"/>
      <c r="VSA11" s="7"/>
      <c r="VSH11" s="7"/>
      <c r="VSO11" s="7"/>
      <c r="VSV11" s="7"/>
      <c r="VTC11" s="7"/>
      <c r="VTJ11" s="7"/>
      <c r="VTQ11" s="7"/>
      <c r="VTX11" s="7"/>
      <c r="VUE11" s="7"/>
      <c r="VUL11" s="7"/>
      <c r="VUS11" s="7"/>
      <c r="VUZ11" s="7"/>
      <c r="VVG11" s="7"/>
      <c r="VVN11" s="7"/>
      <c r="VVU11" s="7"/>
      <c r="VWB11" s="7"/>
      <c r="VWI11" s="7"/>
      <c r="VWP11" s="7"/>
      <c r="VWW11" s="7"/>
      <c r="VXD11" s="7"/>
      <c r="VXK11" s="7"/>
      <c r="VXR11" s="7"/>
      <c r="VXY11" s="7"/>
      <c r="VYF11" s="7"/>
      <c r="VYM11" s="7"/>
      <c r="VYT11" s="7"/>
      <c r="VZA11" s="7"/>
      <c r="VZH11" s="7"/>
      <c r="VZO11" s="7"/>
      <c r="VZV11" s="7"/>
      <c r="WAC11" s="7"/>
      <c r="WAJ11" s="7"/>
      <c r="WAQ11" s="7"/>
      <c r="WAX11" s="7"/>
      <c r="WBE11" s="7"/>
      <c r="WBL11" s="7"/>
      <c r="WBS11" s="7"/>
      <c r="WBZ11" s="7"/>
      <c r="WCG11" s="7"/>
      <c r="WCN11" s="7"/>
      <c r="WCU11" s="7"/>
      <c r="WDB11" s="7"/>
      <c r="WDI11" s="7"/>
      <c r="WDP11" s="7"/>
      <c r="WDW11" s="7"/>
      <c r="WED11" s="7"/>
      <c r="WEK11" s="7"/>
      <c r="WER11" s="7"/>
      <c r="WEY11" s="7"/>
      <c r="WFF11" s="7"/>
      <c r="WFM11" s="7"/>
      <c r="WFT11" s="7"/>
      <c r="WGA11" s="7"/>
      <c r="WGH11" s="7"/>
      <c r="WGO11" s="7"/>
      <c r="WGV11" s="7"/>
      <c r="WHC11" s="7"/>
      <c r="WHJ11" s="7"/>
      <c r="WHQ11" s="7"/>
      <c r="WHX11" s="7"/>
      <c r="WIE11" s="7"/>
      <c r="WIL11" s="7"/>
      <c r="WIS11" s="7"/>
      <c r="WIZ11" s="7"/>
      <c r="WJG11" s="7"/>
      <c r="WJN11" s="7"/>
      <c r="WJU11" s="7"/>
      <c r="WKB11" s="7"/>
      <c r="WKI11" s="7"/>
      <c r="WKP11" s="7"/>
      <c r="WKW11" s="7"/>
      <c r="WLD11" s="7"/>
      <c r="WLK11" s="7"/>
      <c r="WLR11" s="7"/>
      <c r="WLY11" s="7"/>
      <c r="WMF11" s="7"/>
      <c r="WMM11" s="7"/>
      <c r="WMT11" s="7"/>
      <c r="WNA11" s="7"/>
      <c r="WNH11" s="7"/>
      <c r="WNO11" s="7"/>
      <c r="WNV11" s="7"/>
      <c r="WOC11" s="7"/>
      <c r="WOJ11" s="7"/>
      <c r="WOQ11" s="7"/>
      <c r="WOX11" s="7"/>
      <c r="WPE11" s="7"/>
      <c r="WPL11" s="7"/>
      <c r="WPS11" s="7"/>
      <c r="WPZ11" s="7"/>
      <c r="WQG11" s="7"/>
      <c r="WQN11" s="7"/>
      <c r="WQU11" s="7"/>
      <c r="WRB11" s="7"/>
      <c r="WRI11" s="7"/>
      <c r="WRP11" s="7"/>
      <c r="WRW11" s="7"/>
      <c r="WSD11" s="7"/>
      <c r="WSK11" s="7"/>
      <c r="WSR11" s="7"/>
      <c r="WSY11" s="7"/>
      <c r="WTF11" s="7"/>
      <c r="WTM11" s="7"/>
      <c r="WTT11" s="7"/>
      <c r="WUA11" s="7"/>
      <c r="WUH11" s="7"/>
      <c r="WUO11" s="7"/>
      <c r="WUV11" s="7"/>
      <c r="WVC11" s="7"/>
      <c r="WVJ11" s="7"/>
      <c r="WVQ11" s="7"/>
      <c r="WVX11" s="7"/>
      <c r="WWE11" s="7"/>
      <c r="WWL11" s="7"/>
      <c r="WWS11" s="7"/>
      <c r="WWZ11" s="7"/>
      <c r="WXG11" s="7"/>
      <c r="WXN11" s="7"/>
      <c r="WXU11" s="7"/>
      <c r="WYB11" s="7"/>
      <c r="WYI11" s="7"/>
      <c r="WYP11" s="7"/>
      <c r="WYW11" s="7"/>
      <c r="WZD11" s="7"/>
      <c r="WZK11" s="7"/>
      <c r="WZR11" s="7"/>
      <c r="WZY11" s="7"/>
      <c r="XAF11" s="7"/>
      <c r="XAM11" s="7"/>
      <c r="XAT11" s="7"/>
      <c r="XBA11" s="7"/>
      <c r="XBH11" s="7"/>
      <c r="XBO11" s="7"/>
      <c r="XBV11" s="7"/>
      <c r="XCC11" s="7"/>
      <c r="XCJ11" s="7"/>
      <c r="XCQ11" s="7"/>
      <c r="XCX11" s="7"/>
      <c r="XDE11" s="7"/>
      <c r="XDL11" s="7"/>
      <c r="XDS11" s="7"/>
      <c r="XDZ11" s="7"/>
      <c r="XEG11" s="7"/>
      <c r="XEN11" s="7"/>
      <c r="XEU11" s="7"/>
      <c r="XFB11" s="7"/>
    </row>
    <row r="12" spans="1:1024 1031:2046 2053:3068 3075:4090 4097:5119 5126:6141 6148:7163 7170:8192 8199:9214 9221:10236 10243:11258 11265:12287 12294:13309 13316:14331 14338:15360 15367:16382" ht="15.6" x14ac:dyDescent="0.55000000000000004">
      <c r="A12" s="5" t="s">
        <v>18</v>
      </c>
      <c r="B12" s="20">
        <v>21.33</v>
      </c>
      <c r="C12" s="20">
        <v>33.36</v>
      </c>
      <c r="D12" s="20">
        <v>-2.72</v>
      </c>
      <c r="E12" s="20">
        <v>30.43</v>
      </c>
      <c r="F12" s="20">
        <v>59.25</v>
      </c>
      <c r="G12" s="20">
        <v>65.94</v>
      </c>
    </row>
    <row r="13" spans="1:1024 1031:2046 2053:3068 3075:4090 4097:5119 5126:6141 6148:7163 7170:8192 8199:9214 9221:10236 10243:11258 11265:12287 12294:13309 13316:14331 14338:15360 15367:16382" s="8" customFormat="1" ht="15.6" x14ac:dyDescent="0.55000000000000004">
      <c r="A13" s="7" t="s">
        <v>19</v>
      </c>
      <c r="B13" s="25">
        <v>5.5300000000000002E-2</v>
      </c>
      <c r="C13" s="25">
        <v>7.0999999999999994E-2</v>
      </c>
      <c r="D13" s="25">
        <v>-5.3E-3</v>
      </c>
      <c r="E13" s="25">
        <v>5.2900000000000003E-2</v>
      </c>
      <c r="F13" s="25">
        <v>9.2899999999999996E-2</v>
      </c>
      <c r="G13" s="25">
        <v>0.1014</v>
      </c>
      <c r="H13"/>
      <c r="I13" s="7"/>
      <c r="P13" s="7"/>
      <c r="W13" s="7"/>
      <c r="AD13" s="7"/>
      <c r="AK13" s="7"/>
      <c r="AR13" s="7"/>
      <c r="AY13" s="7"/>
      <c r="BF13" s="7"/>
      <c r="BM13" s="7"/>
      <c r="BT13" s="7"/>
      <c r="CA13" s="7"/>
      <c r="CH13" s="7"/>
      <c r="CO13" s="7"/>
      <c r="CV13" s="7"/>
      <c r="DC13" s="7"/>
      <c r="DJ13" s="7"/>
      <c r="DQ13" s="7"/>
      <c r="DX13" s="7"/>
      <c r="EE13" s="7"/>
      <c r="EL13" s="7"/>
      <c r="ES13" s="7"/>
      <c r="EZ13" s="7"/>
      <c r="FG13" s="7"/>
      <c r="FN13" s="7"/>
      <c r="FU13" s="7"/>
      <c r="GB13" s="7"/>
      <c r="GI13" s="7"/>
      <c r="GP13" s="7"/>
      <c r="GW13" s="7"/>
      <c r="HD13" s="7"/>
      <c r="HK13" s="7"/>
      <c r="HR13" s="7"/>
      <c r="HY13" s="7"/>
      <c r="IF13" s="7"/>
      <c r="IM13" s="7"/>
      <c r="IT13" s="7"/>
      <c r="JA13" s="7"/>
      <c r="JH13" s="7"/>
      <c r="JO13" s="7"/>
      <c r="JV13" s="7"/>
      <c r="KC13" s="7"/>
      <c r="KJ13" s="7"/>
      <c r="KQ13" s="7"/>
      <c r="KX13" s="7"/>
      <c r="LE13" s="7"/>
      <c r="LL13" s="7"/>
      <c r="LS13" s="7"/>
      <c r="LZ13" s="7"/>
      <c r="MG13" s="7"/>
      <c r="MN13" s="7"/>
      <c r="MU13" s="7"/>
      <c r="NB13" s="7"/>
      <c r="NI13" s="7"/>
      <c r="NP13" s="7"/>
      <c r="NW13" s="7"/>
      <c r="OD13" s="7"/>
      <c r="OK13" s="7"/>
      <c r="OR13" s="7"/>
      <c r="OY13" s="7"/>
      <c r="PF13" s="7"/>
      <c r="PM13" s="7"/>
      <c r="PT13" s="7"/>
      <c r="QA13" s="7"/>
      <c r="QH13" s="7"/>
      <c r="QO13" s="7"/>
      <c r="QV13" s="7"/>
      <c r="RC13" s="7"/>
      <c r="RJ13" s="7"/>
      <c r="RQ13" s="7"/>
      <c r="RX13" s="7"/>
      <c r="SE13" s="7"/>
      <c r="SL13" s="7"/>
      <c r="SS13" s="7"/>
      <c r="SZ13" s="7"/>
      <c r="TG13" s="7"/>
      <c r="TN13" s="7"/>
      <c r="TU13" s="7"/>
      <c r="UB13" s="7"/>
      <c r="UI13" s="7"/>
      <c r="UP13" s="7"/>
      <c r="UW13" s="7"/>
      <c r="VD13" s="7"/>
      <c r="VK13" s="7"/>
      <c r="VR13" s="7"/>
      <c r="VY13" s="7"/>
      <c r="WF13" s="7"/>
      <c r="WM13" s="7"/>
      <c r="WT13" s="7"/>
      <c r="XA13" s="7"/>
      <c r="XH13" s="7"/>
      <c r="XO13" s="7"/>
      <c r="XV13" s="7"/>
      <c r="YC13" s="7"/>
      <c r="YJ13" s="7"/>
      <c r="YQ13" s="7"/>
      <c r="YX13" s="7"/>
      <c r="ZE13" s="7"/>
      <c r="ZL13" s="7"/>
      <c r="ZS13" s="7"/>
      <c r="ZZ13" s="7"/>
      <c r="AAG13" s="7"/>
      <c r="AAN13" s="7"/>
      <c r="AAU13" s="7"/>
      <c r="ABB13" s="7"/>
      <c r="ABI13" s="7"/>
      <c r="ABP13" s="7"/>
      <c r="ABW13" s="7"/>
      <c r="ACD13" s="7"/>
      <c r="ACK13" s="7"/>
      <c r="ACR13" s="7"/>
      <c r="ACY13" s="7"/>
      <c r="ADF13" s="7"/>
      <c r="ADM13" s="7"/>
      <c r="ADT13" s="7"/>
      <c r="AEA13" s="7"/>
      <c r="AEH13" s="7"/>
      <c r="AEO13" s="7"/>
      <c r="AEV13" s="7"/>
      <c r="AFC13" s="7"/>
      <c r="AFJ13" s="7"/>
      <c r="AFQ13" s="7"/>
      <c r="AFX13" s="7"/>
      <c r="AGE13" s="7"/>
      <c r="AGL13" s="7"/>
      <c r="AGS13" s="7"/>
      <c r="AGZ13" s="7"/>
      <c r="AHG13" s="7"/>
      <c r="AHN13" s="7"/>
      <c r="AHU13" s="7"/>
      <c r="AIB13" s="7"/>
      <c r="AII13" s="7"/>
      <c r="AIP13" s="7"/>
      <c r="AIW13" s="7"/>
      <c r="AJD13" s="7"/>
      <c r="AJK13" s="7"/>
      <c r="AJR13" s="7"/>
      <c r="AJY13" s="7"/>
      <c r="AKF13" s="7"/>
      <c r="AKM13" s="7"/>
      <c r="AKT13" s="7"/>
      <c r="ALA13" s="7"/>
      <c r="ALH13" s="7"/>
      <c r="ALO13" s="7"/>
      <c r="ALV13" s="7"/>
      <c r="AMC13" s="7"/>
      <c r="AMJ13" s="7"/>
      <c r="AMQ13" s="7"/>
      <c r="AMX13" s="7"/>
      <c r="ANE13" s="7"/>
      <c r="ANL13" s="7"/>
      <c r="ANS13" s="7"/>
      <c r="ANZ13" s="7"/>
      <c r="AOG13" s="7"/>
      <c r="AON13" s="7"/>
      <c r="AOU13" s="7"/>
      <c r="APB13" s="7"/>
      <c r="API13" s="7"/>
      <c r="APP13" s="7"/>
      <c r="APW13" s="7"/>
      <c r="AQD13" s="7"/>
      <c r="AQK13" s="7"/>
      <c r="AQR13" s="7"/>
      <c r="AQY13" s="7"/>
      <c r="ARF13" s="7"/>
      <c r="ARM13" s="7"/>
      <c r="ART13" s="7"/>
      <c r="ASA13" s="7"/>
      <c r="ASH13" s="7"/>
      <c r="ASO13" s="7"/>
      <c r="ASV13" s="7"/>
      <c r="ATC13" s="7"/>
      <c r="ATJ13" s="7"/>
      <c r="ATQ13" s="7"/>
      <c r="ATX13" s="7"/>
      <c r="AUE13" s="7"/>
      <c r="AUL13" s="7"/>
      <c r="AUS13" s="7"/>
      <c r="AUZ13" s="7"/>
      <c r="AVG13" s="7"/>
      <c r="AVN13" s="7"/>
      <c r="AVU13" s="7"/>
      <c r="AWB13" s="7"/>
      <c r="AWI13" s="7"/>
      <c r="AWP13" s="7"/>
      <c r="AWW13" s="7"/>
      <c r="AXD13" s="7"/>
      <c r="AXK13" s="7"/>
      <c r="AXR13" s="7"/>
      <c r="AXY13" s="7"/>
      <c r="AYF13" s="7"/>
      <c r="AYM13" s="7"/>
      <c r="AYT13" s="7"/>
      <c r="AZA13" s="7"/>
      <c r="AZH13" s="7"/>
      <c r="AZO13" s="7"/>
      <c r="AZV13" s="7"/>
      <c r="BAC13" s="7"/>
      <c r="BAJ13" s="7"/>
      <c r="BAQ13" s="7"/>
      <c r="BAX13" s="7"/>
      <c r="BBE13" s="7"/>
      <c r="BBL13" s="7"/>
      <c r="BBS13" s="7"/>
      <c r="BBZ13" s="7"/>
      <c r="BCG13" s="7"/>
      <c r="BCN13" s="7"/>
      <c r="BCU13" s="7"/>
      <c r="BDB13" s="7"/>
      <c r="BDI13" s="7"/>
      <c r="BDP13" s="7"/>
      <c r="BDW13" s="7"/>
      <c r="BED13" s="7"/>
      <c r="BEK13" s="7"/>
      <c r="BER13" s="7"/>
      <c r="BEY13" s="7"/>
      <c r="BFF13" s="7"/>
      <c r="BFM13" s="7"/>
      <c r="BFT13" s="7"/>
      <c r="BGA13" s="7"/>
      <c r="BGH13" s="7"/>
      <c r="BGO13" s="7"/>
      <c r="BGV13" s="7"/>
      <c r="BHC13" s="7"/>
      <c r="BHJ13" s="7"/>
      <c r="BHQ13" s="7"/>
      <c r="BHX13" s="7"/>
      <c r="BIE13" s="7"/>
      <c r="BIL13" s="7"/>
      <c r="BIS13" s="7"/>
      <c r="BIZ13" s="7"/>
      <c r="BJG13" s="7"/>
      <c r="BJN13" s="7"/>
      <c r="BJU13" s="7"/>
      <c r="BKB13" s="7"/>
      <c r="BKI13" s="7"/>
      <c r="BKP13" s="7"/>
      <c r="BKW13" s="7"/>
      <c r="BLD13" s="7"/>
      <c r="BLK13" s="7"/>
      <c r="BLR13" s="7"/>
      <c r="BLY13" s="7"/>
      <c r="BMF13" s="7"/>
      <c r="BMM13" s="7"/>
      <c r="BMT13" s="7"/>
      <c r="BNA13" s="7"/>
      <c r="BNH13" s="7"/>
      <c r="BNO13" s="7"/>
      <c r="BNV13" s="7"/>
      <c r="BOC13" s="7"/>
      <c r="BOJ13" s="7"/>
      <c r="BOQ13" s="7"/>
      <c r="BOX13" s="7"/>
      <c r="BPE13" s="7"/>
      <c r="BPL13" s="7"/>
      <c r="BPS13" s="7"/>
      <c r="BPZ13" s="7"/>
      <c r="BQG13" s="7"/>
      <c r="BQN13" s="7"/>
      <c r="BQU13" s="7"/>
      <c r="BRB13" s="7"/>
      <c r="BRI13" s="7"/>
      <c r="BRP13" s="7"/>
      <c r="BRW13" s="7"/>
      <c r="BSD13" s="7"/>
      <c r="BSK13" s="7"/>
      <c r="BSR13" s="7"/>
      <c r="BSY13" s="7"/>
      <c r="BTF13" s="7"/>
      <c r="BTM13" s="7"/>
      <c r="BTT13" s="7"/>
      <c r="BUA13" s="7"/>
      <c r="BUH13" s="7"/>
      <c r="BUO13" s="7"/>
      <c r="BUV13" s="7"/>
      <c r="BVC13" s="7"/>
      <c r="BVJ13" s="7"/>
      <c r="BVQ13" s="7"/>
      <c r="BVX13" s="7"/>
      <c r="BWE13" s="7"/>
      <c r="BWL13" s="7"/>
      <c r="BWS13" s="7"/>
      <c r="BWZ13" s="7"/>
      <c r="BXG13" s="7"/>
      <c r="BXN13" s="7"/>
      <c r="BXU13" s="7"/>
      <c r="BYB13" s="7"/>
      <c r="BYI13" s="7"/>
      <c r="BYP13" s="7"/>
      <c r="BYW13" s="7"/>
      <c r="BZD13" s="7"/>
      <c r="BZK13" s="7"/>
      <c r="BZR13" s="7"/>
      <c r="BZY13" s="7"/>
      <c r="CAF13" s="7"/>
      <c r="CAM13" s="7"/>
      <c r="CAT13" s="7"/>
      <c r="CBA13" s="7"/>
      <c r="CBH13" s="7"/>
      <c r="CBO13" s="7"/>
      <c r="CBV13" s="7"/>
      <c r="CCC13" s="7"/>
      <c r="CCJ13" s="7"/>
      <c r="CCQ13" s="7"/>
      <c r="CCX13" s="7"/>
      <c r="CDE13" s="7"/>
      <c r="CDL13" s="7"/>
      <c r="CDS13" s="7"/>
      <c r="CDZ13" s="7"/>
      <c r="CEG13" s="7"/>
      <c r="CEN13" s="7"/>
      <c r="CEU13" s="7"/>
      <c r="CFB13" s="7"/>
      <c r="CFI13" s="7"/>
      <c r="CFP13" s="7"/>
      <c r="CFW13" s="7"/>
      <c r="CGD13" s="7"/>
      <c r="CGK13" s="7"/>
      <c r="CGR13" s="7"/>
      <c r="CGY13" s="7"/>
      <c r="CHF13" s="7"/>
      <c r="CHM13" s="7"/>
      <c r="CHT13" s="7"/>
      <c r="CIA13" s="7"/>
      <c r="CIH13" s="7"/>
      <c r="CIO13" s="7"/>
      <c r="CIV13" s="7"/>
      <c r="CJC13" s="7"/>
      <c r="CJJ13" s="7"/>
      <c r="CJQ13" s="7"/>
      <c r="CJX13" s="7"/>
      <c r="CKE13" s="7"/>
      <c r="CKL13" s="7"/>
      <c r="CKS13" s="7"/>
      <c r="CKZ13" s="7"/>
      <c r="CLG13" s="7"/>
      <c r="CLN13" s="7"/>
      <c r="CLU13" s="7"/>
      <c r="CMB13" s="7"/>
      <c r="CMI13" s="7"/>
      <c r="CMP13" s="7"/>
      <c r="CMW13" s="7"/>
      <c r="CND13" s="7"/>
      <c r="CNK13" s="7"/>
      <c r="CNR13" s="7"/>
      <c r="CNY13" s="7"/>
      <c r="COF13" s="7"/>
      <c r="COM13" s="7"/>
      <c r="COT13" s="7"/>
      <c r="CPA13" s="7"/>
      <c r="CPH13" s="7"/>
      <c r="CPO13" s="7"/>
      <c r="CPV13" s="7"/>
      <c r="CQC13" s="7"/>
      <c r="CQJ13" s="7"/>
      <c r="CQQ13" s="7"/>
      <c r="CQX13" s="7"/>
      <c r="CRE13" s="7"/>
      <c r="CRL13" s="7"/>
      <c r="CRS13" s="7"/>
      <c r="CRZ13" s="7"/>
      <c r="CSG13" s="7"/>
      <c r="CSN13" s="7"/>
      <c r="CSU13" s="7"/>
      <c r="CTB13" s="7"/>
      <c r="CTI13" s="7"/>
      <c r="CTP13" s="7"/>
      <c r="CTW13" s="7"/>
      <c r="CUD13" s="7"/>
      <c r="CUK13" s="7"/>
      <c r="CUR13" s="7"/>
      <c r="CUY13" s="7"/>
      <c r="CVF13" s="7"/>
      <c r="CVM13" s="7"/>
      <c r="CVT13" s="7"/>
      <c r="CWA13" s="7"/>
      <c r="CWH13" s="7"/>
      <c r="CWO13" s="7"/>
      <c r="CWV13" s="7"/>
      <c r="CXC13" s="7"/>
      <c r="CXJ13" s="7"/>
      <c r="CXQ13" s="7"/>
      <c r="CXX13" s="7"/>
      <c r="CYE13" s="7"/>
      <c r="CYL13" s="7"/>
      <c r="CYS13" s="7"/>
      <c r="CYZ13" s="7"/>
      <c r="CZG13" s="7"/>
      <c r="CZN13" s="7"/>
      <c r="CZU13" s="7"/>
      <c r="DAB13" s="7"/>
      <c r="DAI13" s="7"/>
      <c r="DAP13" s="7"/>
      <c r="DAW13" s="7"/>
      <c r="DBD13" s="7"/>
      <c r="DBK13" s="7"/>
      <c r="DBR13" s="7"/>
      <c r="DBY13" s="7"/>
      <c r="DCF13" s="7"/>
      <c r="DCM13" s="7"/>
      <c r="DCT13" s="7"/>
      <c r="DDA13" s="7"/>
      <c r="DDH13" s="7"/>
      <c r="DDO13" s="7"/>
      <c r="DDV13" s="7"/>
      <c r="DEC13" s="7"/>
      <c r="DEJ13" s="7"/>
      <c r="DEQ13" s="7"/>
      <c r="DEX13" s="7"/>
      <c r="DFE13" s="7"/>
      <c r="DFL13" s="7"/>
      <c r="DFS13" s="7"/>
      <c r="DFZ13" s="7"/>
      <c r="DGG13" s="7"/>
      <c r="DGN13" s="7"/>
      <c r="DGU13" s="7"/>
      <c r="DHB13" s="7"/>
      <c r="DHI13" s="7"/>
      <c r="DHP13" s="7"/>
      <c r="DHW13" s="7"/>
      <c r="DID13" s="7"/>
      <c r="DIK13" s="7"/>
      <c r="DIR13" s="7"/>
      <c r="DIY13" s="7"/>
      <c r="DJF13" s="7"/>
      <c r="DJM13" s="7"/>
      <c r="DJT13" s="7"/>
      <c r="DKA13" s="7"/>
      <c r="DKH13" s="7"/>
      <c r="DKO13" s="7"/>
      <c r="DKV13" s="7"/>
      <c r="DLC13" s="7"/>
      <c r="DLJ13" s="7"/>
      <c r="DLQ13" s="7"/>
      <c r="DLX13" s="7"/>
      <c r="DME13" s="7"/>
      <c r="DML13" s="7"/>
      <c r="DMS13" s="7"/>
      <c r="DMZ13" s="7"/>
      <c r="DNG13" s="7"/>
      <c r="DNN13" s="7"/>
      <c r="DNU13" s="7"/>
      <c r="DOB13" s="7"/>
      <c r="DOI13" s="7"/>
      <c r="DOP13" s="7"/>
      <c r="DOW13" s="7"/>
      <c r="DPD13" s="7"/>
      <c r="DPK13" s="7"/>
      <c r="DPR13" s="7"/>
      <c r="DPY13" s="7"/>
      <c r="DQF13" s="7"/>
      <c r="DQM13" s="7"/>
      <c r="DQT13" s="7"/>
      <c r="DRA13" s="7"/>
      <c r="DRH13" s="7"/>
      <c r="DRO13" s="7"/>
      <c r="DRV13" s="7"/>
      <c r="DSC13" s="7"/>
      <c r="DSJ13" s="7"/>
      <c r="DSQ13" s="7"/>
      <c r="DSX13" s="7"/>
      <c r="DTE13" s="7"/>
      <c r="DTL13" s="7"/>
      <c r="DTS13" s="7"/>
      <c r="DTZ13" s="7"/>
      <c r="DUG13" s="7"/>
      <c r="DUN13" s="7"/>
      <c r="DUU13" s="7"/>
      <c r="DVB13" s="7"/>
      <c r="DVI13" s="7"/>
      <c r="DVP13" s="7"/>
      <c r="DVW13" s="7"/>
      <c r="DWD13" s="7"/>
      <c r="DWK13" s="7"/>
      <c r="DWR13" s="7"/>
      <c r="DWY13" s="7"/>
      <c r="DXF13" s="7"/>
      <c r="DXM13" s="7"/>
      <c r="DXT13" s="7"/>
      <c r="DYA13" s="7"/>
      <c r="DYH13" s="7"/>
      <c r="DYO13" s="7"/>
      <c r="DYV13" s="7"/>
      <c r="DZC13" s="7"/>
      <c r="DZJ13" s="7"/>
      <c r="DZQ13" s="7"/>
      <c r="DZX13" s="7"/>
      <c r="EAE13" s="7"/>
      <c r="EAL13" s="7"/>
      <c r="EAS13" s="7"/>
      <c r="EAZ13" s="7"/>
      <c r="EBG13" s="7"/>
      <c r="EBN13" s="7"/>
      <c r="EBU13" s="7"/>
      <c r="ECB13" s="7"/>
      <c r="ECI13" s="7"/>
      <c r="ECP13" s="7"/>
      <c r="ECW13" s="7"/>
      <c r="EDD13" s="7"/>
      <c r="EDK13" s="7"/>
      <c r="EDR13" s="7"/>
      <c r="EDY13" s="7"/>
      <c r="EEF13" s="7"/>
      <c r="EEM13" s="7"/>
      <c r="EET13" s="7"/>
      <c r="EFA13" s="7"/>
      <c r="EFH13" s="7"/>
      <c r="EFO13" s="7"/>
      <c r="EFV13" s="7"/>
      <c r="EGC13" s="7"/>
      <c r="EGJ13" s="7"/>
      <c r="EGQ13" s="7"/>
      <c r="EGX13" s="7"/>
      <c r="EHE13" s="7"/>
      <c r="EHL13" s="7"/>
      <c r="EHS13" s="7"/>
      <c r="EHZ13" s="7"/>
      <c r="EIG13" s="7"/>
      <c r="EIN13" s="7"/>
      <c r="EIU13" s="7"/>
      <c r="EJB13" s="7"/>
      <c r="EJI13" s="7"/>
      <c r="EJP13" s="7"/>
      <c r="EJW13" s="7"/>
      <c r="EKD13" s="7"/>
      <c r="EKK13" s="7"/>
      <c r="EKR13" s="7"/>
      <c r="EKY13" s="7"/>
      <c r="ELF13" s="7"/>
      <c r="ELM13" s="7"/>
      <c r="ELT13" s="7"/>
      <c r="EMA13" s="7"/>
      <c r="EMH13" s="7"/>
      <c r="EMO13" s="7"/>
      <c r="EMV13" s="7"/>
      <c r="ENC13" s="7"/>
      <c r="ENJ13" s="7"/>
      <c r="ENQ13" s="7"/>
      <c r="ENX13" s="7"/>
      <c r="EOE13" s="7"/>
      <c r="EOL13" s="7"/>
      <c r="EOS13" s="7"/>
      <c r="EOZ13" s="7"/>
      <c r="EPG13" s="7"/>
      <c r="EPN13" s="7"/>
      <c r="EPU13" s="7"/>
      <c r="EQB13" s="7"/>
      <c r="EQI13" s="7"/>
      <c r="EQP13" s="7"/>
      <c r="EQW13" s="7"/>
      <c r="ERD13" s="7"/>
      <c r="ERK13" s="7"/>
      <c r="ERR13" s="7"/>
      <c r="ERY13" s="7"/>
      <c r="ESF13" s="7"/>
      <c r="ESM13" s="7"/>
      <c r="EST13" s="7"/>
      <c r="ETA13" s="7"/>
      <c r="ETH13" s="7"/>
      <c r="ETO13" s="7"/>
      <c r="ETV13" s="7"/>
      <c r="EUC13" s="7"/>
      <c r="EUJ13" s="7"/>
      <c r="EUQ13" s="7"/>
      <c r="EUX13" s="7"/>
      <c r="EVE13" s="7"/>
      <c r="EVL13" s="7"/>
      <c r="EVS13" s="7"/>
      <c r="EVZ13" s="7"/>
      <c r="EWG13" s="7"/>
      <c r="EWN13" s="7"/>
      <c r="EWU13" s="7"/>
      <c r="EXB13" s="7"/>
      <c r="EXI13" s="7"/>
      <c r="EXP13" s="7"/>
      <c r="EXW13" s="7"/>
      <c r="EYD13" s="7"/>
      <c r="EYK13" s="7"/>
      <c r="EYR13" s="7"/>
      <c r="EYY13" s="7"/>
      <c r="EZF13" s="7"/>
      <c r="EZM13" s="7"/>
      <c r="EZT13" s="7"/>
      <c r="FAA13" s="7"/>
      <c r="FAH13" s="7"/>
      <c r="FAO13" s="7"/>
      <c r="FAV13" s="7"/>
      <c r="FBC13" s="7"/>
      <c r="FBJ13" s="7"/>
      <c r="FBQ13" s="7"/>
      <c r="FBX13" s="7"/>
      <c r="FCE13" s="7"/>
      <c r="FCL13" s="7"/>
      <c r="FCS13" s="7"/>
      <c r="FCZ13" s="7"/>
      <c r="FDG13" s="7"/>
      <c r="FDN13" s="7"/>
      <c r="FDU13" s="7"/>
      <c r="FEB13" s="7"/>
      <c r="FEI13" s="7"/>
      <c r="FEP13" s="7"/>
      <c r="FEW13" s="7"/>
      <c r="FFD13" s="7"/>
      <c r="FFK13" s="7"/>
      <c r="FFR13" s="7"/>
      <c r="FFY13" s="7"/>
      <c r="FGF13" s="7"/>
      <c r="FGM13" s="7"/>
      <c r="FGT13" s="7"/>
      <c r="FHA13" s="7"/>
      <c r="FHH13" s="7"/>
      <c r="FHO13" s="7"/>
      <c r="FHV13" s="7"/>
      <c r="FIC13" s="7"/>
      <c r="FIJ13" s="7"/>
      <c r="FIQ13" s="7"/>
      <c r="FIX13" s="7"/>
      <c r="FJE13" s="7"/>
      <c r="FJL13" s="7"/>
      <c r="FJS13" s="7"/>
      <c r="FJZ13" s="7"/>
      <c r="FKG13" s="7"/>
      <c r="FKN13" s="7"/>
      <c r="FKU13" s="7"/>
      <c r="FLB13" s="7"/>
      <c r="FLI13" s="7"/>
      <c r="FLP13" s="7"/>
      <c r="FLW13" s="7"/>
      <c r="FMD13" s="7"/>
      <c r="FMK13" s="7"/>
      <c r="FMR13" s="7"/>
      <c r="FMY13" s="7"/>
      <c r="FNF13" s="7"/>
      <c r="FNM13" s="7"/>
      <c r="FNT13" s="7"/>
      <c r="FOA13" s="7"/>
      <c r="FOH13" s="7"/>
      <c r="FOO13" s="7"/>
      <c r="FOV13" s="7"/>
      <c r="FPC13" s="7"/>
      <c r="FPJ13" s="7"/>
      <c r="FPQ13" s="7"/>
      <c r="FPX13" s="7"/>
      <c r="FQE13" s="7"/>
      <c r="FQL13" s="7"/>
      <c r="FQS13" s="7"/>
      <c r="FQZ13" s="7"/>
      <c r="FRG13" s="7"/>
      <c r="FRN13" s="7"/>
      <c r="FRU13" s="7"/>
      <c r="FSB13" s="7"/>
      <c r="FSI13" s="7"/>
      <c r="FSP13" s="7"/>
      <c r="FSW13" s="7"/>
      <c r="FTD13" s="7"/>
      <c r="FTK13" s="7"/>
      <c r="FTR13" s="7"/>
      <c r="FTY13" s="7"/>
      <c r="FUF13" s="7"/>
      <c r="FUM13" s="7"/>
      <c r="FUT13" s="7"/>
      <c r="FVA13" s="7"/>
      <c r="FVH13" s="7"/>
      <c r="FVO13" s="7"/>
      <c r="FVV13" s="7"/>
      <c r="FWC13" s="7"/>
      <c r="FWJ13" s="7"/>
      <c r="FWQ13" s="7"/>
      <c r="FWX13" s="7"/>
      <c r="FXE13" s="7"/>
      <c r="FXL13" s="7"/>
      <c r="FXS13" s="7"/>
      <c r="FXZ13" s="7"/>
      <c r="FYG13" s="7"/>
      <c r="FYN13" s="7"/>
      <c r="FYU13" s="7"/>
      <c r="FZB13" s="7"/>
      <c r="FZI13" s="7"/>
      <c r="FZP13" s="7"/>
      <c r="FZW13" s="7"/>
      <c r="GAD13" s="7"/>
      <c r="GAK13" s="7"/>
      <c r="GAR13" s="7"/>
      <c r="GAY13" s="7"/>
      <c r="GBF13" s="7"/>
      <c r="GBM13" s="7"/>
      <c r="GBT13" s="7"/>
      <c r="GCA13" s="7"/>
      <c r="GCH13" s="7"/>
      <c r="GCO13" s="7"/>
      <c r="GCV13" s="7"/>
      <c r="GDC13" s="7"/>
      <c r="GDJ13" s="7"/>
      <c r="GDQ13" s="7"/>
      <c r="GDX13" s="7"/>
      <c r="GEE13" s="7"/>
      <c r="GEL13" s="7"/>
      <c r="GES13" s="7"/>
      <c r="GEZ13" s="7"/>
      <c r="GFG13" s="7"/>
      <c r="GFN13" s="7"/>
      <c r="GFU13" s="7"/>
      <c r="GGB13" s="7"/>
      <c r="GGI13" s="7"/>
      <c r="GGP13" s="7"/>
      <c r="GGW13" s="7"/>
      <c r="GHD13" s="7"/>
      <c r="GHK13" s="7"/>
      <c r="GHR13" s="7"/>
      <c r="GHY13" s="7"/>
      <c r="GIF13" s="7"/>
      <c r="GIM13" s="7"/>
      <c r="GIT13" s="7"/>
      <c r="GJA13" s="7"/>
      <c r="GJH13" s="7"/>
      <c r="GJO13" s="7"/>
      <c r="GJV13" s="7"/>
      <c r="GKC13" s="7"/>
      <c r="GKJ13" s="7"/>
      <c r="GKQ13" s="7"/>
      <c r="GKX13" s="7"/>
      <c r="GLE13" s="7"/>
      <c r="GLL13" s="7"/>
      <c r="GLS13" s="7"/>
      <c r="GLZ13" s="7"/>
      <c r="GMG13" s="7"/>
      <c r="GMN13" s="7"/>
      <c r="GMU13" s="7"/>
      <c r="GNB13" s="7"/>
      <c r="GNI13" s="7"/>
      <c r="GNP13" s="7"/>
      <c r="GNW13" s="7"/>
      <c r="GOD13" s="7"/>
      <c r="GOK13" s="7"/>
      <c r="GOR13" s="7"/>
      <c r="GOY13" s="7"/>
      <c r="GPF13" s="7"/>
      <c r="GPM13" s="7"/>
      <c r="GPT13" s="7"/>
      <c r="GQA13" s="7"/>
      <c r="GQH13" s="7"/>
      <c r="GQO13" s="7"/>
      <c r="GQV13" s="7"/>
      <c r="GRC13" s="7"/>
      <c r="GRJ13" s="7"/>
      <c r="GRQ13" s="7"/>
      <c r="GRX13" s="7"/>
      <c r="GSE13" s="7"/>
      <c r="GSL13" s="7"/>
      <c r="GSS13" s="7"/>
      <c r="GSZ13" s="7"/>
      <c r="GTG13" s="7"/>
      <c r="GTN13" s="7"/>
      <c r="GTU13" s="7"/>
      <c r="GUB13" s="7"/>
      <c r="GUI13" s="7"/>
      <c r="GUP13" s="7"/>
      <c r="GUW13" s="7"/>
      <c r="GVD13" s="7"/>
      <c r="GVK13" s="7"/>
      <c r="GVR13" s="7"/>
      <c r="GVY13" s="7"/>
      <c r="GWF13" s="7"/>
      <c r="GWM13" s="7"/>
      <c r="GWT13" s="7"/>
      <c r="GXA13" s="7"/>
      <c r="GXH13" s="7"/>
      <c r="GXO13" s="7"/>
      <c r="GXV13" s="7"/>
      <c r="GYC13" s="7"/>
      <c r="GYJ13" s="7"/>
      <c r="GYQ13" s="7"/>
      <c r="GYX13" s="7"/>
      <c r="GZE13" s="7"/>
      <c r="GZL13" s="7"/>
      <c r="GZS13" s="7"/>
      <c r="GZZ13" s="7"/>
      <c r="HAG13" s="7"/>
      <c r="HAN13" s="7"/>
      <c r="HAU13" s="7"/>
      <c r="HBB13" s="7"/>
      <c r="HBI13" s="7"/>
      <c r="HBP13" s="7"/>
      <c r="HBW13" s="7"/>
      <c r="HCD13" s="7"/>
      <c r="HCK13" s="7"/>
      <c r="HCR13" s="7"/>
      <c r="HCY13" s="7"/>
      <c r="HDF13" s="7"/>
      <c r="HDM13" s="7"/>
      <c r="HDT13" s="7"/>
      <c r="HEA13" s="7"/>
      <c r="HEH13" s="7"/>
      <c r="HEO13" s="7"/>
      <c r="HEV13" s="7"/>
      <c r="HFC13" s="7"/>
      <c r="HFJ13" s="7"/>
      <c r="HFQ13" s="7"/>
      <c r="HFX13" s="7"/>
      <c r="HGE13" s="7"/>
      <c r="HGL13" s="7"/>
      <c r="HGS13" s="7"/>
      <c r="HGZ13" s="7"/>
      <c r="HHG13" s="7"/>
      <c r="HHN13" s="7"/>
      <c r="HHU13" s="7"/>
      <c r="HIB13" s="7"/>
      <c r="HII13" s="7"/>
      <c r="HIP13" s="7"/>
      <c r="HIW13" s="7"/>
      <c r="HJD13" s="7"/>
      <c r="HJK13" s="7"/>
      <c r="HJR13" s="7"/>
      <c r="HJY13" s="7"/>
      <c r="HKF13" s="7"/>
      <c r="HKM13" s="7"/>
      <c r="HKT13" s="7"/>
      <c r="HLA13" s="7"/>
      <c r="HLH13" s="7"/>
      <c r="HLO13" s="7"/>
      <c r="HLV13" s="7"/>
      <c r="HMC13" s="7"/>
      <c r="HMJ13" s="7"/>
      <c r="HMQ13" s="7"/>
      <c r="HMX13" s="7"/>
      <c r="HNE13" s="7"/>
      <c r="HNL13" s="7"/>
      <c r="HNS13" s="7"/>
      <c r="HNZ13" s="7"/>
      <c r="HOG13" s="7"/>
      <c r="HON13" s="7"/>
      <c r="HOU13" s="7"/>
      <c r="HPB13" s="7"/>
      <c r="HPI13" s="7"/>
      <c r="HPP13" s="7"/>
      <c r="HPW13" s="7"/>
      <c r="HQD13" s="7"/>
      <c r="HQK13" s="7"/>
      <c r="HQR13" s="7"/>
      <c r="HQY13" s="7"/>
      <c r="HRF13" s="7"/>
      <c r="HRM13" s="7"/>
      <c r="HRT13" s="7"/>
      <c r="HSA13" s="7"/>
      <c r="HSH13" s="7"/>
      <c r="HSO13" s="7"/>
      <c r="HSV13" s="7"/>
      <c r="HTC13" s="7"/>
      <c r="HTJ13" s="7"/>
      <c r="HTQ13" s="7"/>
      <c r="HTX13" s="7"/>
      <c r="HUE13" s="7"/>
      <c r="HUL13" s="7"/>
      <c r="HUS13" s="7"/>
      <c r="HUZ13" s="7"/>
      <c r="HVG13" s="7"/>
      <c r="HVN13" s="7"/>
      <c r="HVU13" s="7"/>
      <c r="HWB13" s="7"/>
      <c r="HWI13" s="7"/>
      <c r="HWP13" s="7"/>
      <c r="HWW13" s="7"/>
      <c r="HXD13" s="7"/>
      <c r="HXK13" s="7"/>
      <c r="HXR13" s="7"/>
      <c r="HXY13" s="7"/>
      <c r="HYF13" s="7"/>
      <c r="HYM13" s="7"/>
      <c r="HYT13" s="7"/>
      <c r="HZA13" s="7"/>
      <c r="HZH13" s="7"/>
      <c r="HZO13" s="7"/>
      <c r="HZV13" s="7"/>
      <c r="IAC13" s="7"/>
      <c r="IAJ13" s="7"/>
      <c r="IAQ13" s="7"/>
      <c r="IAX13" s="7"/>
      <c r="IBE13" s="7"/>
      <c r="IBL13" s="7"/>
      <c r="IBS13" s="7"/>
      <c r="IBZ13" s="7"/>
      <c r="ICG13" s="7"/>
      <c r="ICN13" s="7"/>
      <c r="ICU13" s="7"/>
      <c r="IDB13" s="7"/>
      <c r="IDI13" s="7"/>
      <c r="IDP13" s="7"/>
      <c r="IDW13" s="7"/>
      <c r="IED13" s="7"/>
      <c r="IEK13" s="7"/>
      <c r="IER13" s="7"/>
      <c r="IEY13" s="7"/>
      <c r="IFF13" s="7"/>
      <c r="IFM13" s="7"/>
      <c r="IFT13" s="7"/>
      <c r="IGA13" s="7"/>
      <c r="IGH13" s="7"/>
      <c r="IGO13" s="7"/>
      <c r="IGV13" s="7"/>
      <c r="IHC13" s="7"/>
      <c r="IHJ13" s="7"/>
      <c r="IHQ13" s="7"/>
      <c r="IHX13" s="7"/>
      <c r="IIE13" s="7"/>
      <c r="IIL13" s="7"/>
      <c r="IIS13" s="7"/>
      <c r="IIZ13" s="7"/>
      <c r="IJG13" s="7"/>
      <c r="IJN13" s="7"/>
      <c r="IJU13" s="7"/>
      <c r="IKB13" s="7"/>
      <c r="IKI13" s="7"/>
      <c r="IKP13" s="7"/>
      <c r="IKW13" s="7"/>
      <c r="ILD13" s="7"/>
      <c r="ILK13" s="7"/>
      <c r="ILR13" s="7"/>
      <c r="ILY13" s="7"/>
      <c r="IMF13" s="7"/>
      <c r="IMM13" s="7"/>
      <c r="IMT13" s="7"/>
      <c r="INA13" s="7"/>
      <c r="INH13" s="7"/>
      <c r="INO13" s="7"/>
      <c r="INV13" s="7"/>
      <c r="IOC13" s="7"/>
      <c r="IOJ13" s="7"/>
      <c r="IOQ13" s="7"/>
      <c r="IOX13" s="7"/>
      <c r="IPE13" s="7"/>
      <c r="IPL13" s="7"/>
      <c r="IPS13" s="7"/>
      <c r="IPZ13" s="7"/>
      <c r="IQG13" s="7"/>
      <c r="IQN13" s="7"/>
      <c r="IQU13" s="7"/>
      <c r="IRB13" s="7"/>
      <c r="IRI13" s="7"/>
      <c r="IRP13" s="7"/>
      <c r="IRW13" s="7"/>
      <c r="ISD13" s="7"/>
      <c r="ISK13" s="7"/>
      <c r="ISR13" s="7"/>
      <c r="ISY13" s="7"/>
      <c r="ITF13" s="7"/>
      <c r="ITM13" s="7"/>
      <c r="ITT13" s="7"/>
      <c r="IUA13" s="7"/>
      <c r="IUH13" s="7"/>
      <c r="IUO13" s="7"/>
      <c r="IUV13" s="7"/>
      <c r="IVC13" s="7"/>
      <c r="IVJ13" s="7"/>
      <c r="IVQ13" s="7"/>
      <c r="IVX13" s="7"/>
      <c r="IWE13" s="7"/>
      <c r="IWL13" s="7"/>
      <c r="IWS13" s="7"/>
      <c r="IWZ13" s="7"/>
      <c r="IXG13" s="7"/>
      <c r="IXN13" s="7"/>
      <c r="IXU13" s="7"/>
      <c r="IYB13" s="7"/>
      <c r="IYI13" s="7"/>
      <c r="IYP13" s="7"/>
      <c r="IYW13" s="7"/>
      <c r="IZD13" s="7"/>
      <c r="IZK13" s="7"/>
      <c r="IZR13" s="7"/>
      <c r="IZY13" s="7"/>
      <c r="JAF13" s="7"/>
      <c r="JAM13" s="7"/>
      <c r="JAT13" s="7"/>
      <c r="JBA13" s="7"/>
      <c r="JBH13" s="7"/>
      <c r="JBO13" s="7"/>
      <c r="JBV13" s="7"/>
      <c r="JCC13" s="7"/>
      <c r="JCJ13" s="7"/>
      <c r="JCQ13" s="7"/>
      <c r="JCX13" s="7"/>
      <c r="JDE13" s="7"/>
      <c r="JDL13" s="7"/>
      <c r="JDS13" s="7"/>
      <c r="JDZ13" s="7"/>
      <c r="JEG13" s="7"/>
      <c r="JEN13" s="7"/>
      <c r="JEU13" s="7"/>
      <c r="JFB13" s="7"/>
      <c r="JFI13" s="7"/>
      <c r="JFP13" s="7"/>
      <c r="JFW13" s="7"/>
      <c r="JGD13" s="7"/>
      <c r="JGK13" s="7"/>
      <c r="JGR13" s="7"/>
      <c r="JGY13" s="7"/>
      <c r="JHF13" s="7"/>
      <c r="JHM13" s="7"/>
      <c r="JHT13" s="7"/>
      <c r="JIA13" s="7"/>
      <c r="JIH13" s="7"/>
      <c r="JIO13" s="7"/>
      <c r="JIV13" s="7"/>
      <c r="JJC13" s="7"/>
      <c r="JJJ13" s="7"/>
      <c r="JJQ13" s="7"/>
      <c r="JJX13" s="7"/>
      <c r="JKE13" s="7"/>
      <c r="JKL13" s="7"/>
      <c r="JKS13" s="7"/>
      <c r="JKZ13" s="7"/>
      <c r="JLG13" s="7"/>
      <c r="JLN13" s="7"/>
      <c r="JLU13" s="7"/>
      <c r="JMB13" s="7"/>
      <c r="JMI13" s="7"/>
      <c r="JMP13" s="7"/>
      <c r="JMW13" s="7"/>
      <c r="JND13" s="7"/>
      <c r="JNK13" s="7"/>
      <c r="JNR13" s="7"/>
      <c r="JNY13" s="7"/>
      <c r="JOF13" s="7"/>
      <c r="JOM13" s="7"/>
      <c r="JOT13" s="7"/>
      <c r="JPA13" s="7"/>
      <c r="JPH13" s="7"/>
      <c r="JPO13" s="7"/>
      <c r="JPV13" s="7"/>
      <c r="JQC13" s="7"/>
      <c r="JQJ13" s="7"/>
      <c r="JQQ13" s="7"/>
      <c r="JQX13" s="7"/>
      <c r="JRE13" s="7"/>
      <c r="JRL13" s="7"/>
      <c r="JRS13" s="7"/>
      <c r="JRZ13" s="7"/>
      <c r="JSG13" s="7"/>
      <c r="JSN13" s="7"/>
      <c r="JSU13" s="7"/>
      <c r="JTB13" s="7"/>
      <c r="JTI13" s="7"/>
      <c r="JTP13" s="7"/>
      <c r="JTW13" s="7"/>
      <c r="JUD13" s="7"/>
      <c r="JUK13" s="7"/>
      <c r="JUR13" s="7"/>
      <c r="JUY13" s="7"/>
      <c r="JVF13" s="7"/>
      <c r="JVM13" s="7"/>
      <c r="JVT13" s="7"/>
      <c r="JWA13" s="7"/>
      <c r="JWH13" s="7"/>
      <c r="JWO13" s="7"/>
      <c r="JWV13" s="7"/>
      <c r="JXC13" s="7"/>
      <c r="JXJ13" s="7"/>
      <c r="JXQ13" s="7"/>
      <c r="JXX13" s="7"/>
      <c r="JYE13" s="7"/>
      <c r="JYL13" s="7"/>
      <c r="JYS13" s="7"/>
      <c r="JYZ13" s="7"/>
      <c r="JZG13" s="7"/>
      <c r="JZN13" s="7"/>
      <c r="JZU13" s="7"/>
      <c r="KAB13" s="7"/>
      <c r="KAI13" s="7"/>
      <c r="KAP13" s="7"/>
      <c r="KAW13" s="7"/>
      <c r="KBD13" s="7"/>
      <c r="KBK13" s="7"/>
      <c r="KBR13" s="7"/>
      <c r="KBY13" s="7"/>
      <c r="KCF13" s="7"/>
      <c r="KCM13" s="7"/>
      <c r="KCT13" s="7"/>
      <c r="KDA13" s="7"/>
      <c r="KDH13" s="7"/>
      <c r="KDO13" s="7"/>
      <c r="KDV13" s="7"/>
      <c r="KEC13" s="7"/>
      <c r="KEJ13" s="7"/>
      <c r="KEQ13" s="7"/>
      <c r="KEX13" s="7"/>
      <c r="KFE13" s="7"/>
      <c r="KFL13" s="7"/>
      <c r="KFS13" s="7"/>
      <c r="KFZ13" s="7"/>
      <c r="KGG13" s="7"/>
      <c r="KGN13" s="7"/>
      <c r="KGU13" s="7"/>
      <c r="KHB13" s="7"/>
      <c r="KHI13" s="7"/>
      <c r="KHP13" s="7"/>
      <c r="KHW13" s="7"/>
      <c r="KID13" s="7"/>
      <c r="KIK13" s="7"/>
      <c r="KIR13" s="7"/>
      <c r="KIY13" s="7"/>
      <c r="KJF13" s="7"/>
      <c r="KJM13" s="7"/>
      <c r="KJT13" s="7"/>
      <c r="KKA13" s="7"/>
      <c r="KKH13" s="7"/>
      <c r="KKO13" s="7"/>
      <c r="KKV13" s="7"/>
      <c r="KLC13" s="7"/>
      <c r="KLJ13" s="7"/>
      <c r="KLQ13" s="7"/>
      <c r="KLX13" s="7"/>
      <c r="KME13" s="7"/>
      <c r="KML13" s="7"/>
      <c r="KMS13" s="7"/>
      <c r="KMZ13" s="7"/>
      <c r="KNG13" s="7"/>
      <c r="KNN13" s="7"/>
      <c r="KNU13" s="7"/>
      <c r="KOB13" s="7"/>
      <c r="KOI13" s="7"/>
      <c r="KOP13" s="7"/>
      <c r="KOW13" s="7"/>
      <c r="KPD13" s="7"/>
      <c r="KPK13" s="7"/>
      <c r="KPR13" s="7"/>
      <c r="KPY13" s="7"/>
      <c r="KQF13" s="7"/>
      <c r="KQM13" s="7"/>
      <c r="KQT13" s="7"/>
      <c r="KRA13" s="7"/>
      <c r="KRH13" s="7"/>
      <c r="KRO13" s="7"/>
      <c r="KRV13" s="7"/>
      <c r="KSC13" s="7"/>
      <c r="KSJ13" s="7"/>
      <c r="KSQ13" s="7"/>
      <c r="KSX13" s="7"/>
      <c r="KTE13" s="7"/>
      <c r="KTL13" s="7"/>
      <c r="KTS13" s="7"/>
      <c r="KTZ13" s="7"/>
      <c r="KUG13" s="7"/>
      <c r="KUN13" s="7"/>
      <c r="KUU13" s="7"/>
      <c r="KVB13" s="7"/>
      <c r="KVI13" s="7"/>
      <c r="KVP13" s="7"/>
      <c r="KVW13" s="7"/>
      <c r="KWD13" s="7"/>
      <c r="KWK13" s="7"/>
      <c r="KWR13" s="7"/>
      <c r="KWY13" s="7"/>
      <c r="KXF13" s="7"/>
      <c r="KXM13" s="7"/>
      <c r="KXT13" s="7"/>
      <c r="KYA13" s="7"/>
      <c r="KYH13" s="7"/>
      <c r="KYO13" s="7"/>
      <c r="KYV13" s="7"/>
      <c r="KZC13" s="7"/>
      <c r="KZJ13" s="7"/>
      <c r="KZQ13" s="7"/>
      <c r="KZX13" s="7"/>
      <c r="LAE13" s="7"/>
      <c r="LAL13" s="7"/>
      <c r="LAS13" s="7"/>
      <c r="LAZ13" s="7"/>
      <c r="LBG13" s="7"/>
      <c r="LBN13" s="7"/>
      <c r="LBU13" s="7"/>
      <c r="LCB13" s="7"/>
      <c r="LCI13" s="7"/>
      <c r="LCP13" s="7"/>
      <c r="LCW13" s="7"/>
      <c r="LDD13" s="7"/>
      <c r="LDK13" s="7"/>
      <c r="LDR13" s="7"/>
      <c r="LDY13" s="7"/>
      <c r="LEF13" s="7"/>
      <c r="LEM13" s="7"/>
      <c r="LET13" s="7"/>
      <c r="LFA13" s="7"/>
      <c r="LFH13" s="7"/>
      <c r="LFO13" s="7"/>
      <c r="LFV13" s="7"/>
      <c r="LGC13" s="7"/>
      <c r="LGJ13" s="7"/>
      <c r="LGQ13" s="7"/>
      <c r="LGX13" s="7"/>
      <c r="LHE13" s="7"/>
      <c r="LHL13" s="7"/>
      <c r="LHS13" s="7"/>
      <c r="LHZ13" s="7"/>
      <c r="LIG13" s="7"/>
      <c r="LIN13" s="7"/>
      <c r="LIU13" s="7"/>
      <c r="LJB13" s="7"/>
      <c r="LJI13" s="7"/>
      <c r="LJP13" s="7"/>
      <c r="LJW13" s="7"/>
      <c r="LKD13" s="7"/>
      <c r="LKK13" s="7"/>
      <c r="LKR13" s="7"/>
      <c r="LKY13" s="7"/>
      <c r="LLF13" s="7"/>
      <c r="LLM13" s="7"/>
      <c r="LLT13" s="7"/>
      <c r="LMA13" s="7"/>
      <c r="LMH13" s="7"/>
      <c r="LMO13" s="7"/>
      <c r="LMV13" s="7"/>
      <c r="LNC13" s="7"/>
      <c r="LNJ13" s="7"/>
      <c r="LNQ13" s="7"/>
      <c r="LNX13" s="7"/>
      <c r="LOE13" s="7"/>
      <c r="LOL13" s="7"/>
      <c r="LOS13" s="7"/>
      <c r="LOZ13" s="7"/>
      <c r="LPG13" s="7"/>
      <c r="LPN13" s="7"/>
      <c r="LPU13" s="7"/>
      <c r="LQB13" s="7"/>
      <c r="LQI13" s="7"/>
      <c r="LQP13" s="7"/>
      <c r="LQW13" s="7"/>
      <c r="LRD13" s="7"/>
      <c r="LRK13" s="7"/>
      <c r="LRR13" s="7"/>
      <c r="LRY13" s="7"/>
      <c r="LSF13" s="7"/>
      <c r="LSM13" s="7"/>
      <c r="LST13" s="7"/>
      <c r="LTA13" s="7"/>
      <c r="LTH13" s="7"/>
      <c r="LTO13" s="7"/>
      <c r="LTV13" s="7"/>
      <c r="LUC13" s="7"/>
      <c r="LUJ13" s="7"/>
      <c r="LUQ13" s="7"/>
      <c r="LUX13" s="7"/>
      <c r="LVE13" s="7"/>
      <c r="LVL13" s="7"/>
      <c r="LVS13" s="7"/>
      <c r="LVZ13" s="7"/>
      <c r="LWG13" s="7"/>
      <c r="LWN13" s="7"/>
      <c r="LWU13" s="7"/>
      <c r="LXB13" s="7"/>
      <c r="LXI13" s="7"/>
      <c r="LXP13" s="7"/>
      <c r="LXW13" s="7"/>
      <c r="LYD13" s="7"/>
      <c r="LYK13" s="7"/>
      <c r="LYR13" s="7"/>
      <c r="LYY13" s="7"/>
      <c r="LZF13" s="7"/>
      <c r="LZM13" s="7"/>
      <c r="LZT13" s="7"/>
      <c r="MAA13" s="7"/>
      <c r="MAH13" s="7"/>
      <c r="MAO13" s="7"/>
      <c r="MAV13" s="7"/>
      <c r="MBC13" s="7"/>
      <c r="MBJ13" s="7"/>
      <c r="MBQ13" s="7"/>
      <c r="MBX13" s="7"/>
      <c r="MCE13" s="7"/>
      <c r="MCL13" s="7"/>
      <c r="MCS13" s="7"/>
      <c r="MCZ13" s="7"/>
      <c r="MDG13" s="7"/>
      <c r="MDN13" s="7"/>
      <c r="MDU13" s="7"/>
      <c r="MEB13" s="7"/>
      <c r="MEI13" s="7"/>
      <c r="MEP13" s="7"/>
      <c r="MEW13" s="7"/>
      <c r="MFD13" s="7"/>
      <c r="MFK13" s="7"/>
      <c r="MFR13" s="7"/>
      <c r="MFY13" s="7"/>
      <c r="MGF13" s="7"/>
      <c r="MGM13" s="7"/>
      <c r="MGT13" s="7"/>
      <c r="MHA13" s="7"/>
      <c r="MHH13" s="7"/>
      <c r="MHO13" s="7"/>
      <c r="MHV13" s="7"/>
      <c r="MIC13" s="7"/>
      <c r="MIJ13" s="7"/>
      <c r="MIQ13" s="7"/>
      <c r="MIX13" s="7"/>
      <c r="MJE13" s="7"/>
      <c r="MJL13" s="7"/>
      <c r="MJS13" s="7"/>
      <c r="MJZ13" s="7"/>
      <c r="MKG13" s="7"/>
      <c r="MKN13" s="7"/>
      <c r="MKU13" s="7"/>
      <c r="MLB13" s="7"/>
      <c r="MLI13" s="7"/>
      <c r="MLP13" s="7"/>
      <c r="MLW13" s="7"/>
      <c r="MMD13" s="7"/>
      <c r="MMK13" s="7"/>
      <c r="MMR13" s="7"/>
      <c r="MMY13" s="7"/>
      <c r="MNF13" s="7"/>
      <c r="MNM13" s="7"/>
      <c r="MNT13" s="7"/>
      <c r="MOA13" s="7"/>
      <c r="MOH13" s="7"/>
      <c r="MOO13" s="7"/>
      <c r="MOV13" s="7"/>
      <c r="MPC13" s="7"/>
      <c r="MPJ13" s="7"/>
      <c r="MPQ13" s="7"/>
      <c r="MPX13" s="7"/>
      <c r="MQE13" s="7"/>
      <c r="MQL13" s="7"/>
      <c r="MQS13" s="7"/>
      <c r="MQZ13" s="7"/>
      <c r="MRG13" s="7"/>
      <c r="MRN13" s="7"/>
      <c r="MRU13" s="7"/>
      <c r="MSB13" s="7"/>
      <c r="MSI13" s="7"/>
      <c r="MSP13" s="7"/>
      <c r="MSW13" s="7"/>
      <c r="MTD13" s="7"/>
      <c r="MTK13" s="7"/>
      <c r="MTR13" s="7"/>
      <c r="MTY13" s="7"/>
      <c r="MUF13" s="7"/>
      <c r="MUM13" s="7"/>
      <c r="MUT13" s="7"/>
      <c r="MVA13" s="7"/>
      <c r="MVH13" s="7"/>
      <c r="MVO13" s="7"/>
      <c r="MVV13" s="7"/>
      <c r="MWC13" s="7"/>
      <c r="MWJ13" s="7"/>
      <c r="MWQ13" s="7"/>
      <c r="MWX13" s="7"/>
      <c r="MXE13" s="7"/>
      <c r="MXL13" s="7"/>
      <c r="MXS13" s="7"/>
      <c r="MXZ13" s="7"/>
      <c r="MYG13" s="7"/>
      <c r="MYN13" s="7"/>
      <c r="MYU13" s="7"/>
      <c r="MZB13" s="7"/>
      <c r="MZI13" s="7"/>
      <c r="MZP13" s="7"/>
      <c r="MZW13" s="7"/>
      <c r="NAD13" s="7"/>
      <c r="NAK13" s="7"/>
      <c r="NAR13" s="7"/>
      <c r="NAY13" s="7"/>
      <c r="NBF13" s="7"/>
      <c r="NBM13" s="7"/>
      <c r="NBT13" s="7"/>
      <c r="NCA13" s="7"/>
      <c r="NCH13" s="7"/>
      <c r="NCO13" s="7"/>
      <c r="NCV13" s="7"/>
      <c r="NDC13" s="7"/>
      <c r="NDJ13" s="7"/>
      <c r="NDQ13" s="7"/>
      <c r="NDX13" s="7"/>
      <c r="NEE13" s="7"/>
      <c r="NEL13" s="7"/>
      <c r="NES13" s="7"/>
      <c r="NEZ13" s="7"/>
      <c r="NFG13" s="7"/>
      <c r="NFN13" s="7"/>
      <c r="NFU13" s="7"/>
      <c r="NGB13" s="7"/>
      <c r="NGI13" s="7"/>
      <c r="NGP13" s="7"/>
      <c r="NGW13" s="7"/>
      <c r="NHD13" s="7"/>
      <c r="NHK13" s="7"/>
      <c r="NHR13" s="7"/>
      <c r="NHY13" s="7"/>
      <c r="NIF13" s="7"/>
      <c r="NIM13" s="7"/>
      <c r="NIT13" s="7"/>
      <c r="NJA13" s="7"/>
      <c r="NJH13" s="7"/>
      <c r="NJO13" s="7"/>
      <c r="NJV13" s="7"/>
      <c r="NKC13" s="7"/>
      <c r="NKJ13" s="7"/>
      <c r="NKQ13" s="7"/>
      <c r="NKX13" s="7"/>
      <c r="NLE13" s="7"/>
      <c r="NLL13" s="7"/>
      <c r="NLS13" s="7"/>
      <c r="NLZ13" s="7"/>
      <c r="NMG13" s="7"/>
      <c r="NMN13" s="7"/>
      <c r="NMU13" s="7"/>
      <c r="NNB13" s="7"/>
      <c r="NNI13" s="7"/>
      <c r="NNP13" s="7"/>
      <c r="NNW13" s="7"/>
      <c r="NOD13" s="7"/>
      <c r="NOK13" s="7"/>
      <c r="NOR13" s="7"/>
      <c r="NOY13" s="7"/>
      <c r="NPF13" s="7"/>
      <c r="NPM13" s="7"/>
      <c r="NPT13" s="7"/>
      <c r="NQA13" s="7"/>
      <c r="NQH13" s="7"/>
      <c r="NQO13" s="7"/>
      <c r="NQV13" s="7"/>
      <c r="NRC13" s="7"/>
      <c r="NRJ13" s="7"/>
      <c r="NRQ13" s="7"/>
      <c r="NRX13" s="7"/>
      <c r="NSE13" s="7"/>
      <c r="NSL13" s="7"/>
      <c r="NSS13" s="7"/>
      <c r="NSZ13" s="7"/>
      <c r="NTG13" s="7"/>
      <c r="NTN13" s="7"/>
      <c r="NTU13" s="7"/>
      <c r="NUB13" s="7"/>
      <c r="NUI13" s="7"/>
      <c r="NUP13" s="7"/>
      <c r="NUW13" s="7"/>
      <c r="NVD13" s="7"/>
      <c r="NVK13" s="7"/>
      <c r="NVR13" s="7"/>
      <c r="NVY13" s="7"/>
      <c r="NWF13" s="7"/>
      <c r="NWM13" s="7"/>
      <c r="NWT13" s="7"/>
      <c r="NXA13" s="7"/>
      <c r="NXH13" s="7"/>
      <c r="NXO13" s="7"/>
      <c r="NXV13" s="7"/>
      <c r="NYC13" s="7"/>
      <c r="NYJ13" s="7"/>
      <c r="NYQ13" s="7"/>
      <c r="NYX13" s="7"/>
      <c r="NZE13" s="7"/>
      <c r="NZL13" s="7"/>
      <c r="NZS13" s="7"/>
      <c r="NZZ13" s="7"/>
      <c r="OAG13" s="7"/>
      <c r="OAN13" s="7"/>
      <c r="OAU13" s="7"/>
      <c r="OBB13" s="7"/>
      <c r="OBI13" s="7"/>
      <c r="OBP13" s="7"/>
      <c r="OBW13" s="7"/>
      <c r="OCD13" s="7"/>
      <c r="OCK13" s="7"/>
      <c r="OCR13" s="7"/>
      <c r="OCY13" s="7"/>
      <c r="ODF13" s="7"/>
      <c r="ODM13" s="7"/>
      <c r="ODT13" s="7"/>
      <c r="OEA13" s="7"/>
      <c r="OEH13" s="7"/>
      <c r="OEO13" s="7"/>
      <c r="OEV13" s="7"/>
      <c r="OFC13" s="7"/>
      <c r="OFJ13" s="7"/>
      <c r="OFQ13" s="7"/>
      <c r="OFX13" s="7"/>
      <c r="OGE13" s="7"/>
      <c r="OGL13" s="7"/>
      <c r="OGS13" s="7"/>
      <c r="OGZ13" s="7"/>
      <c r="OHG13" s="7"/>
      <c r="OHN13" s="7"/>
      <c r="OHU13" s="7"/>
      <c r="OIB13" s="7"/>
      <c r="OII13" s="7"/>
      <c r="OIP13" s="7"/>
      <c r="OIW13" s="7"/>
      <c r="OJD13" s="7"/>
      <c r="OJK13" s="7"/>
      <c r="OJR13" s="7"/>
      <c r="OJY13" s="7"/>
      <c r="OKF13" s="7"/>
      <c r="OKM13" s="7"/>
      <c r="OKT13" s="7"/>
      <c r="OLA13" s="7"/>
      <c r="OLH13" s="7"/>
      <c r="OLO13" s="7"/>
      <c r="OLV13" s="7"/>
      <c r="OMC13" s="7"/>
      <c r="OMJ13" s="7"/>
      <c r="OMQ13" s="7"/>
      <c r="OMX13" s="7"/>
      <c r="ONE13" s="7"/>
      <c r="ONL13" s="7"/>
      <c r="ONS13" s="7"/>
      <c r="ONZ13" s="7"/>
      <c r="OOG13" s="7"/>
      <c r="OON13" s="7"/>
      <c r="OOU13" s="7"/>
      <c r="OPB13" s="7"/>
      <c r="OPI13" s="7"/>
      <c r="OPP13" s="7"/>
      <c r="OPW13" s="7"/>
      <c r="OQD13" s="7"/>
      <c r="OQK13" s="7"/>
      <c r="OQR13" s="7"/>
      <c r="OQY13" s="7"/>
      <c r="ORF13" s="7"/>
      <c r="ORM13" s="7"/>
      <c r="ORT13" s="7"/>
      <c r="OSA13" s="7"/>
      <c r="OSH13" s="7"/>
      <c r="OSO13" s="7"/>
      <c r="OSV13" s="7"/>
      <c r="OTC13" s="7"/>
      <c r="OTJ13" s="7"/>
      <c r="OTQ13" s="7"/>
      <c r="OTX13" s="7"/>
      <c r="OUE13" s="7"/>
      <c r="OUL13" s="7"/>
      <c r="OUS13" s="7"/>
      <c r="OUZ13" s="7"/>
      <c r="OVG13" s="7"/>
      <c r="OVN13" s="7"/>
      <c r="OVU13" s="7"/>
      <c r="OWB13" s="7"/>
      <c r="OWI13" s="7"/>
      <c r="OWP13" s="7"/>
      <c r="OWW13" s="7"/>
      <c r="OXD13" s="7"/>
      <c r="OXK13" s="7"/>
      <c r="OXR13" s="7"/>
      <c r="OXY13" s="7"/>
      <c r="OYF13" s="7"/>
      <c r="OYM13" s="7"/>
      <c r="OYT13" s="7"/>
      <c r="OZA13" s="7"/>
      <c r="OZH13" s="7"/>
      <c r="OZO13" s="7"/>
      <c r="OZV13" s="7"/>
      <c r="PAC13" s="7"/>
      <c r="PAJ13" s="7"/>
      <c r="PAQ13" s="7"/>
      <c r="PAX13" s="7"/>
      <c r="PBE13" s="7"/>
      <c r="PBL13" s="7"/>
      <c r="PBS13" s="7"/>
      <c r="PBZ13" s="7"/>
      <c r="PCG13" s="7"/>
      <c r="PCN13" s="7"/>
      <c r="PCU13" s="7"/>
      <c r="PDB13" s="7"/>
      <c r="PDI13" s="7"/>
      <c r="PDP13" s="7"/>
      <c r="PDW13" s="7"/>
      <c r="PED13" s="7"/>
      <c r="PEK13" s="7"/>
      <c r="PER13" s="7"/>
      <c r="PEY13" s="7"/>
      <c r="PFF13" s="7"/>
      <c r="PFM13" s="7"/>
      <c r="PFT13" s="7"/>
      <c r="PGA13" s="7"/>
      <c r="PGH13" s="7"/>
      <c r="PGO13" s="7"/>
      <c r="PGV13" s="7"/>
      <c r="PHC13" s="7"/>
      <c r="PHJ13" s="7"/>
      <c r="PHQ13" s="7"/>
      <c r="PHX13" s="7"/>
      <c r="PIE13" s="7"/>
      <c r="PIL13" s="7"/>
      <c r="PIS13" s="7"/>
      <c r="PIZ13" s="7"/>
      <c r="PJG13" s="7"/>
      <c r="PJN13" s="7"/>
      <c r="PJU13" s="7"/>
      <c r="PKB13" s="7"/>
      <c r="PKI13" s="7"/>
      <c r="PKP13" s="7"/>
      <c r="PKW13" s="7"/>
      <c r="PLD13" s="7"/>
      <c r="PLK13" s="7"/>
      <c r="PLR13" s="7"/>
      <c r="PLY13" s="7"/>
      <c r="PMF13" s="7"/>
      <c r="PMM13" s="7"/>
      <c r="PMT13" s="7"/>
      <c r="PNA13" s="7"/>
      <c r="PNH13" s="7"/>
      <c r="PNO13" s="7"/>
      <c r="PNV13" s="7"/>
      <c r="POC13" s="7"/>
      <c r="POJ13" s="7"/>
      <c r="POQ13" s="7"/>
      <c r="POX13" s="7"/>
      <c r="PPE13" s="7"/>
      <c r="PPL13" s="7"/>
      <c r="PPS13" s="7"/>
      <c r="PPZ13" s="7"/>
      <c r="PQG13" s="7"/>
      <c r="PQN13" s="7"/>
      <c r="PQU13" s="7"/>
      <c r="PRB13" s="7"/>
      <c r="PRI13" s="7"/>
      <c r="PRP13" s="7"/>
      <c r="PRW13" s="7"/>
      <c r="PSD13" s="7"/>
      <c r="PSK13" s="7"/>
      <c r="PSR13" s="7"/>
      <c r="PSY13" s="7"/>
      <c r="PTF13" s="7"/>
      <c r="PTM13" s="7"/>
      <c r="PTT13" s="7"/>
      <c r="PUA13" s="7"/>
      <c r="PUH13" s="7"/>
      <c r="PUO13" s="7"/>
      <c r="PUV13" s="7"/>
      <c r="PVC13" s="7"/>
      <c r="PVJ13" s="7"/>
      <c r="PVQ13" s="7"/>
      <c r="PVX13" s="7"/>
      <c r="PWE13" s="7"/>
      <c r="PWL13" s="7"/>
      <c r="PWS13" s="7"/>
      <c r="PWZ13" s="7"/>
      <c r="PXG13" s="7"/>
      <c r="PXN13" s="7"/>
      <c r="PXU13" s="7"/>
      <c r="PYB13" s="7"/>
      <c r="PYI13" s="7"/>
      <c r="PYP13" s="7"/>
      <c r="PYW13" s="7"/>
      <c r="PZD13" s="7"/>
      <c r="PZK13" s="7"/>
      <c r="PZR13" s="7"/>
      <c r="PZY13" s="7"/>
      <c r="QAF13" s="7"/>
      <c r="QAM13" s="7"/>
      <c r="QAT13" s="7"/>
      <c r="QBA13" s="7"/>
      <c r="QBH13" s="7"/>
      <c r="QBO13" s="7"/>
      <c r="QBV13" s="7"/>
      <c r="QCC13" s="7"/>
      <c r="QCJ13" s="7"/>
      <c r="QCQ13" s="7"/>
      <c r="QCX13" s="7"/>
      <c r="QDE13" s="7"/>
      <c r="QDL13" s="7"/>
      <c r="QDS13" s="7"/>
      <c r="QDZ13" s="7"/>
      <c r="QEG13" s="7"/>
      <c r="QEN13" s="7"/>
      <c r="QEU13" s="7"/>
      <c r="QFB13" s="7"/>
      <c r="QFI13" s="7"/>
      <c r="QFP13" s="7"/>
      <c r="QFW13" s="7"/>
      <c r="QGD13" s="7"/>
      <c r="QGK13" s="7"/>
      <c r="QGR13" s="7"/>
      <c r="QGY13" s="7"/>
      <c r="QHF13" s="7"/>
      <c r="QHM13" s="7"/>
      <c r="QHT13" s="7"/>
      <c r="QIA13" s="7"/>
      <c r="QIH13" s="7"/>
      <c r="QIO13" s="7"/>
      <c r="QIV13" s="7"/>
      <c r="QJC13" s="7"/>
      <c r="QJJ13" s="7"/>
      <c r="QJQ13" s="7"/>
      <c r="QJX13" s="7"/>
      <c r="QKE13" s="7"/>
      <c r="QKL13" s="7"/>
      <c r="QKS13" s="7"/>
      <c r="QKZ13" s="7"/>
      <c r="QLG13" s="7"/>
      <c r="QLN13" s="7"/>
      <c r="QLU13" s="7"/>
      <c r="QMB13" s="7"/>
      <c r="QMI13" s="7"/>
      <c r="QMP13" s="7"/>
      <c r="QMW13" s="7"/>
      <c r="QND13" s="7"/>
      <c r="QNK13" s="7"/>
      <c r="QNR13" s="7"/>
      <c r="QNY13" s="7"/>
      <c r="QOF13" s="7"/>
      <c r="QOM13" s="7"/>
      <c r="QOT13" s="7"/>
      <c r="QPA13" s="7"/>
      <c r="QPH13" s="7"/>
      <c r="QPO13" s="7"/>
      <c r="QPV13" s="7"/>
      <c r="QQC13" s="7"/>
      <c r="QQJ13" s="7"/>
      <c r="QQQ13" s="7"/>
      <c r="QQX13" s="7"/>
      <c r="QRE13" s="7"/>
      <c r="QRL13" s="7"/>
      <c r="QRS13" s="7"/>
      <c r="QRZ13" s="7"/>
      <c r="QSG13" s="7"/>
      <c r="QSN13" s="7"/>
      <c r="QSU13" s="7"/>
      <c r="QTB13" s="7"/>
      <c r="QTI13" s="7"/>
      <c r="QTP13" s="7"/>
      <c r="QTW13" s="7"/>
      <c r="QUD13" s="7"/>
      <c r="QUK13" s="7"/>
      <c r="QUR13" s="7"/>
      <c r="QUY13" s="7"/>
      <c r="QVF13" s="7"/>
      <c r="QVM13" s="7"/>
      <c r="QVT13" s="7"/>
      <c r="QWA13" s="7"/>
      <c r="QWH13" s="7"/>
      <c r="QWO13" s="7"/>
      <c r="QWV13" s="7"/>
      <c r="QXC13" s="7"/>
      <c r="QXJ13" s="7"/>
      <c r="QXQ13" s="7"/>
      <c r="QXX13" s="7"/>
      <c r="QYE13" s="7"/>
      <c r="QYL13" s="7"/>
      <c r="QYS13" s="7"/>
      <c r="QYZ13" s="7"/>
      <c r="QZG13" s="7"/>
      <c r="QZN13" s="7"/>
      <c r="QZU13" s="7"/>
      <c r="RAB13" s="7"/>
      <c r="RAI13" s="7"/>
      <c r="RAP13" s="7"/>
      <c r="RAW13" s="7"/>
      <c r="RBD13" s="7"/>
      <c r="RBK13" s="7"/>
      <c r="RBR13" s="7"/>
      <c r="RBY13" s="7"/>
      <c r="RCF13" s="7"/>
      <c r="RCM13" s="7"/>
      <c r="RCT13" s="7"/>
      <c r="RDA13" s="7"/>
      <c r="RDH13" s="7"/>
      <c r="RDO13" s="7"/>
      <c r="RDV13" s="7"/>
      <c r="REC13" s="7"/>
      <c r="REJ13" s="7"/>
      <c r="REQ13" s="7"/>
      <c r="REX13" s="7"/>
      <c r="RFE13" s="7"/>
      <c r="RFL13" s="7"/>
      <c r="RFS13" s="7"/>
      <c r="RFZ13" s="7"/>
      <c r="RGG13" s="7"/>
      <c r="RGN13" s="7"/>
      <c r="RGU13" s="7"/>
      <c r="RHB13" s="7"/>
      <c r="RHI13" s="7"/>
      <c r="RHP13" s="7"/>
      <c r="RHW13" s="7"/>
      <c r="RID13" s="7"/>
      <c r="RIK13" s="7"/>
      <c r="RIR13" s="7"/>
      <c r="RIY13" s="7"/>
      <c r="RJF13" s="7"/>
      <c r="RJM13" s="7"/>
      <c r="RJT13" s="7"/>
      <c r="RKA13" s="7"/>
      <c r="RKH13" s="7"/>
      <c r="RKO13" s="7"/>
      <c r="RKV13" s="7"/>
      <c r="RLC13" s="7"/>
      <c r="RLJ13" s="7"/>
      <c r="RLQ13" s="7"/>
      <c r="RLX13" s="7"/>
      <c r="RME13" s="7"/>
      <c r="RML13" s="7"/>
      <c r="RMS13" s="7"/>
      <c r="RMZ13" s="7"/>
      <c r="RNG13" s="7"/>
      <c r="RNN13" s="7"/>
      <c r="RNU13" s="7"/>
      <c r="ROB13" s="7"/>
      <c r="ROI13" s="7"/>
      <c r="ROP13" s="7"/>
      <c r="ROW13" s="7"/>
      <c r="RPD13" s="7"/>
      <c r="RPK13" s="7"/>
      <c r="RPR13" s="7"/>
      <c r="RPY13" s="7"/>
      <c r="RQF13" s="7"/>
      <c r="RQM13" s="7"/>
      <c r="RQT13" s="7"/>
      <c r="RRA13" s="7"/>
      <c r="RRH13" s="7"/>
      <c r="RRO13" s="7"/>
      <c r="RRV13" s="7"/>
      <c r="RSC13" s="7"/>
      <c r="RSJ13" s="7"/>
      <c r="RSQ13" s="7"/>
      <c r="RSX13" s="7"/>
      <c r="RTE13" s="7"/>
      <c r="RTL13" s="7"/>
      <c r="RTS13" s="7"/>
      <c r="RTZ13" s="7"/>
      <c r="RUG13" s="7"/>
      <c r="RUN13" s="7"/>
      <c r="RUU13" s="7"/>
      <c r="RVB13" s="7"/>
      <c r="RVI13" s="7"/>
      <c r="RVP13" s="7"/>
      <c r="RVW13" s="7"/>
      <c r="RWD13" s="7"/>
      <c r="RWK13" s="7"/>
      <c r="RWR13" s="7"/>
      <c r="RWY13" s="7"/>
      <c r="RXF13" s="7"/>
      <c r="RXM13" s="7"/>
      <c r="RXT13" s="7"/>
      <c r="RYA13" s="7"/>
      <c r="RYH13" s="7"/>
      <c r="RYO13" s="7"/>
      <c r="RYV13" s="7"/>
      <c r="RZC13" s="7"/>
      <c r="RZJ13" s="7"/>
      <c r="RZQ13" s="7"/>
      <c r="RZX13" s="7"/>
      <c r="SAE13" s="7"/>
      <c r="SAL13" s="7"/>
      <c r="SAS13" s="7"/>
      <c r="SAZ13" s="7"/>
      <c r="SBG13" s="7"/>
      <c r="SBN13" s="7"/>
      <c r="SBU13" s="7"/>
      <c r="SCB13" s="7"/>
      <c r="SCI13" s="7"/>
      <c r="SCP13" s="7"/>
      <c r="SCW13" s="7"/>
      <c r="SDD13" s="7"/>
      <c r="SDK13" s="7"/>
      <c r="SDR13" s="7"/>
      <c r="SDY13" s="7"/>
      <c r="SEF13" s="7"/>
      <c r="SEM13" s="7"/>
      <c r="SET13" s="7"/>
      <c r="SFA13" s="7"/>
      <c r="SFH13" s="7"/>
      <c r="SFO13" s="7"/>
      <c r="SFV13" s="7"/>
      <c r="SGC13" s="7"/>
      <c r="SGJ13" s="7"/>
      <c r="SGQ13" s="7"/>
      <c r="SGX13" s="7"/>
      <c r="SHE13" s="7"/>
      <c r="SHL13" s="7"/>
      <c r="SHS13" s="7"/>
      <c r="SHZ13" s="7"/>
      <c r="SIG13" s="7"/>
      <c r="SIN13" s="7"/>
      <c r="SIU13" s="7"/>
      <c r="SJB13" s="7"/>
      <c r="SJI13" s="7"/>
      <c r="SJP13" s="7"/>
      <c r="SJW13" s="7"/>
      <c r="SKD13" s="7"/>
      <c r="SKK13" s="7"/>
      <c r="SKR13" s="7"/>
      <c r="SKY13" s="7"/>
      <c r="SLF13" s="7"/>
      <c r="SLM13" s="7"/>
      <c r="SLT13" s="7"/>
      <c r="SMA13" s="7"/>
      <c r="SMH13" s="7"/>
      <c r="SMO13" s="7"/>
      <c r="SMV13" s="7"/>
      <c r="SNC13" s="7"/>
      <c r="SNJ13" s="7"/>
      <c r="SNQ13" s="7"/>
      <c r="SNX13" s="7"/>
      <c r="SOE13" s="7"/>
      <c r="SOL13" s="7"/>
      <c r="SOS13" s="7"/>
      <c r="SOZ13" s="7"/>
      <c r="SPG13" s="7"/>
      <c r="SPN13" s="7"/>
      <c r="SPU13" s="7"/>
      <c r="SQB13" s="7"/>
      <c r="SQI13" s="7"/>
      <c r="SQP13" s="7"/>
      <c r="SQW13" s="7"/>
      <c r="SRD13" s="7"/>
      <c r="SRK13" s="7"/>
      <c r="SRR13" s="7"/>
      <c r="SRY13" s="7"/>
      <c r="SSF13" s="7"/>
      <c r="SSM13" s="7"/>
      <c r="SST13" s="7"/>
      <c r="STA13" s="7"/>
      <c r="STH13" s="7"/>
      <c r="STO13" s="7"/>
      <c r="STV13" s="7"/>
      <c r="SUC13" s="7"/>
      <c r="SUJ13" s="7"/>
      <c r="SUQ13" s="7"/>
      <c r="SUX13" s="7"/>
      <c r="SVE13" s="7"/>
      <c r="SVL13" s="7"/>
      <c r="SVS13" s="7"/>
      <c r="SVZ13" s="7"/>
      <c r="SWG13" s="7"/>
      <c r="SWN13" s="7"/>
      <c r="SWU13" s="7"/>
      <c r="SXB13" s="7"/>
      <c r="SXI13" s="7"/>
      <c r="SXP13" s="7"/>
      <c r="SXW13" s="7"/>
      <c r="SYD13" s="7"/>
      <c r="SYK13" s="7"/>
      <c r="SYR13" s="7"/>
      <c r="SYY13" s="7"/>
      <c r="SZF13" s="7"/>
      <c r="SZM13" s="7"/>
      <c r="SZT13" s="7"/>
      <c r="TAA13" s="7"/>
      <c r="TAH13" s="7"/>
      <c r="TAO13" s="7"/>
      <c r="TAV13" s="7"/>
      <c r="TBC13" s="7"/>
      <c r="TBJ13" s="7"/>
      <c r="TBQ13" s="7"/>
      <c r="TBX13" s="7"/>
      <c r="TCE13" s="7"/>
      <c r="TCL13" s="7"/>
      <c r="TCS13" s="7"/>
      <c r="TCZ13" s="7"/>
      <c r="TDG13" s="7"/>
      <c r="TDN13" s="7"/>
      <c r="TDU13" s="7"/>
      <c r="TEB13" s="7"/>
      <c r="TEI13" s="7"/>
      <c r="TEP13" s="7"/>
      <c r="TEW13" s="7"/>
      <c r="TFD13" s="7"/>
      <c r="TFK13" s="7"/>
      <c r="TFR13" s="7"/>
      <c r="TFY13" s="7"/>
      <c r="TGF13" s="7"/>
      <c r="TGM13" s="7"/>
      <c r="TGT13" s="7"/>
      <c r="THA13" s="7"/>
      <c r="THH13" s="7"/>
      <c r="THO13" s="7"/>
      <c r="THV13" s="7"/>
      <c r="TIC13" s="7"/>
      <c r="TIJ13" s="7"/>
      <c r="TIQ13" s="7"/>
      <c r="TIX13" s="7"/>
      <c r="TJE13" s="7"/>
      <c r="TJL13" s="7"/>
      <c r="TJS13" s="7"/>
      <c r="TJZ13" s="7"/>
      <c r="TKG13" s="7"/>
      <c r="TKN13" s="7"/>
      <c r="TKU13" s="7"/>
      <c r="TLB13" s="7"/>
      <c r="TLI13" s="7"/>
      <c r="TLP13" s="7"/>
      <c r="TLW13" s="7"/>
      <c r="TMD13" s="7"/>
      <c r="TMK13" s="7"/>
      <c r="TMR13" s="7"/>
      <c r="TMY13" s="7"/>
      <c r="TNF13" s="7"/>
      <c r="TNM13" s="7"/>
      <c r="TNT13" s="7"/>
      <c r="TOA13" s="7"/>
      <c r="TOH13" s="7"/>
      <c r="TOO13" s="7"/>
      <c r="TOV13" s="7"/>
      <c r="TPC13" s="7"/>
      <c r="TPJ13" s="7"/>
      <c r="TPQ13" s="7"/>
      <c r="TPX13" s="7"/>
      <c r="TQE13" s="7"/>
      <c r="TQL13" s="7"/>
      <c r="TQS13" s="7"/>
      <c r="TQZ13" s="7"/>
      <c r="TRG13" s="7"/>
      <c r="TRN13" s="7"/>
      <c r="TRU13" s="7"/>
      <c r="TSB13" s="7"/>
      <c r="TSI13" s="7"/>
      <c r="TSP13" s="7"/>
      <c r="TSW13" s="7"/>
      <c r="TTD13" s="7"/>
      <c r="TTK13" s="7"/>
      <c r="TTR13" s="7"/>
      <c r="TTY13" s="7"/>
      <c r="TUF13" s="7"/>
      <c r="TUM13" s="7"/>
      <c r="TUT13" s="7"/>
      <c r="TVA13" s="7"/>
      <c r="TVH13" s="7"/>
      <c r="TVO13" s="7"/>
      <c r="TVV13" s="7"/>
      <c r="TWC13" s="7"/>
      <c r="TWJ13" s="7"/>
      <c r="TWQ13" s="7"/>
      <c r="TWX13" s="7"/>
      <c r="TXE13" s="7"/>
      <c r="TXL13" s="7"/>
      <c r="TXS13" s="7"/>
      <c r="TXZ13" s="7"/>
      <c r="TYG13" s="7"/>
      <c r="TYN13" s="7"/>
      <c r="TYU13" s="7"/>
      <c r="TZB13" s="7"/>
      <c r="TZI13" s="7"/>
      <c r="TZP13" s="7"/>
      <c r="TZW13" s="7"/>
      <c r="UAD13" s="7"/>
      <c r="UAK13" s="7"/>
      <c r="UAR13" s="7"/>
      <c r="UAY13" s="7"/>
      <c r="UBF13" s="7"/>
      <c r="UBM13" s="7"/>
      <c r="UBT13" s="7"/>
      <c r="UCA13" s="7"/>
      <c r="UCH13" s="7"/>
      <c r="UCO13" s="7"/>
      <c r="UCV13" s="7"/>
      <c r="UDC13" s="7"/>
      <c r="UDJ13" s="7"/>
      <c r="UDQ13" s="7"/>
      <c r="UDX13" s="7"/>
      <c r="UEE13" s="7"/>
      <c r="UEL13" s="7"/>
      <c r="UES13" s="7"/>
      <c r="UEZ13" s="7"/>
      <c r="UFG13" s="7"/>
      <c r="UFN13" s="7"/>
      <c r="UFU13" s="7"/>
      <c r="UGB13" s="7"/>
      <c r="UGI13" s="7"/>
      <c r="UGP13" s="7"/>
      <c r="UGW13" s="7"/>
      <c r="UHD13" s="7"/>
      <c r="UHK13" s="7"/>
      <c r="UHR13" s="7"/>
      <c r="UHY13" s="7"/>
      <c r="UIF13" s="7"/>
      <c r="UIM13" s="7"/>
      <c r="UIT13" s="7"/>
      <c r="UJA13" s="7"/>
      <c r="UJH13" s="7"/>
      <c r="UJO13" s="7"/>
      <c r="UJV13" s="7"/>
      <c r="UKC13" s="7"/>
      <c r="UKJ13" s="7"/>
      <c r="UKQ13" s="7"/>
      <c r="UKX13" s="7"/>
      <c r="ULE13" s="7"/>
      <c r="ULL13" s="7"/>
      <c r="ULS13" s="7"/>
      <c r="ULZ13" s="7"/>
      <c r="UMG13" s="7"/>
      <c r="UMN13" s="7"/>
      <c r="UMU13" s="7"/>
      <c r="UNB13" s="7"/>
      <c r="UNI13" s="7"/>
      <c r="UNP13" s="7"/>
      <c r="UNW13" s="7"/>
      <c r="UOD13" s="7"/>
      <c r="UOK13" s="7"/>
      <c r="UOR13" s="7"/>
      <c r="UOY13" s="7"/>
      <c r="UPF13" s="7"/>
      <c r="UPM13" s="7"/>
      <c r="UPT13" s="7"/>
      <c r="UQA13" s="7"/>
      <c r="UQH13" s="7"/>
      <c r="UQO13" s="7"/>
      <c r="UQV13" s="7"/>
      <c r="URC13" s="7"/>
      <c r="URJ13" s="7"/>
      <c r="URQ13" s="7"/>
      <c r="URX13" s="7"/>
      <c r="USE13" s="7"/>
      <c r="USL13" s="7"/>
      <c r="USS13" s="7"/>
      <c r="USZ13" s="7"/>
      <c r="UTG13" s="7"/>
      <c r="UTN13" s="7"/>
      <c r="UTU13" s="7"/>
      <c r="UUB13" s="7"/>
      <c r="UUI13" s="7"/>
      <c r="UUP13" s="7"/>
      <c r="UUW13" s="7"/>
      <c r="UVD13" s="7"/>
      <c r="UVK13" s="7"/>
      <c r="UVR13" s="7"/>
      <c r="UVY13" s="7"/>
      <c r="UWF13" s="7"/>
      <c r="UWM13" s="7"/>
      <c r="UWT13" s="7"/>
      <c r="UXA13" s="7"/>
      <c r="UXH13" s="7"/>
      <c r="UXO13" s="7"/>
      <c r="UXV13" s="7"/>
      <c r="UYC13" s="7"/>
      <c r="UYJ13" s="7"/>
      <c r="UYQ13" s="7"/>
      <c r="UYX13" s="7"/>
      <c r="UZE13" s="7"/>
      <c r="UZL13" s="7"/>
      <c r="UZS13" s="7"/>
      <c r="UZZ13" s="7"/>
      <c r="VAG13" s="7"/>
      <c r="VAN13" s="7"/>
      <c r="VAU13" s="7"/>
      <c r="VBB13" s="7"/>
      <c r="VBI13" s="7"/>
      <c r="VBP13" s="7"/>
      <c r="VBW13" s="7"/>
      <c r="VCD13" s="7"/>
      <c r="VCK13" s="7"/>
      <c r="VCR13" s="7"/>
      <c r="VCY13" s="7"/>
      <c r="VDF13" s="7"/>
      <c r="VDM13" s="7"/>
      <c r="VDT13" s="7"/>
      <c r="VEA13" s="7"/>
      <c r="VEH13" s="7"/>
      <c r="VEO13" s="7"/>
      <c r="VEV13" s="7"/>
      <c r="VFC13" s="7"/>
      <c r="VFJ13" s="7"/>
      <c r="VFQ13" s="7"/>
      <c r="VFX13" s="7"/>
      <c r="VGE13" s="7"/>
      <c r="VGL13" s="7"/>
      <c r="VGS13" s="7"/>
      <c r="VGZ13" s="7"/>
      <c r="VHG13" s="7"/>
      <c r="VHN13" s="7"/>
      <c r="VHU13" s="7"/>
      <c r="VIB13" s="7"/>
      <c r="VII13" s="7"/>
      <c r="VIP13" s="7"/>
      <c r="VIW13" s="7"/>
      <c r="VJD13" s="7"/>
      <c r="VJK13" s="7"/>
      <c r="VJR13" s="7"/>
      <c r="VJY13" s="7"/>
      <c r="VKF13" s="7"/>
      <c r="VKM13" s="7"/>
      <c r="VKT13" s="7"/>
      <c r="VLA13" s="7"/>
      <c r="VLH13" s="7"/>
      <c r="VLO13" s="7"/>
      <c r="VLV13" s="7"/>
      <c r="VMC13" s="7"/>
      <c r="VMJ13" s="7"/>
      <c r="VMQ13" s="7"/>
      <c r="VMX13" s="7"/>
      <c r="VNE13" s="7"/>
      <c r="VNL13" s="7"/>
      <c r="VNS13" s="7"/>
      <c r="VNZ13" s="7"/>
      <c r="VOG13" s="7"/>
      <c r="VON13" s="7"/>
      <c r="VOU13" s="7"/>
      <c r="VPB13" s="7"/>
      <c r="VPI13" s="7"/>
      <c r="VPP13" s="7"/>
      <c r="VPW13" s="7"/>
      <c r="VQD13" s="7"/>
      <c r="VQK13" s="7"/>
      <c r="VQR13" s="7"/>
      <c r="VQY13" s="7"/>
      <c r="VRF13" s="7"/>
      <c r="VRM13" s="7"/>
      <c r="VRT13" s="7"/>
      <c r="VSA13" s="7"/>
      <c r="VSH13" s="7"/>
      <c r="VSO13" s="7"/>
      <c r="VSV13" s="7"/>
      <c r="VTC13" s="7"/>
      <c r="VTJ13" s="7"/>
      <c r="VTQ13" s="7"/>
      <c r="VTX13" s="7"/>
      <c r="VUE13" s="7"/>
      <c r="VUL13" s="7"/>
      <c r="VUS13" s="7"/>
      <c r="VUZ13" s="7"/>
      <c r="VVG13" s="7"/>
      <c r="VVN13" s="7"/>
      <c r="VVU13" s="7"/>
      <c r="VWB13" s="7"/>
      <c r="VWI13" s="7"/>
      <c r="VWP13" s="7"/>
      <c r="VWW13" s="7"/>
      <c r="VXD13" s="7"/>
      <c r="VXK13" s="7"/>
      <c r="VXR13" s="7"/>
      <c r="VXY13" s="7"/>
      <c r="VYF13" s="7"/>
      <c r="VYM13" s="7"/>
      <c r="VYT13" s="7"/>
      <c r="VZA13" s="7"/>
      <c r="VZH13" s="7"/>
      <c r="VZO13" s="7"/>
      <c r="VZV13" s="7"/>
      <c r="WAC13" s="7"/>
      <c r="WAJ13" s="7"/>
      <c r="WAQ13" s="7"/>
      <c r="WAX13" s="7"/>
      <c r="WBE13" s="7"/>
      <c r="WBL13" s="7"/>
      <c r="WBS13" s="7"/>
      <c r="WBZ13" s="7"/>
      <c r="WCG13" s="7"/>
      <c r="WCN13" s="7"/>
      <c r="WCU13" s="7"/>
      <c r="WDB13" s="7"/>
      <c r="WDI13" s="7"/>
      <c r="WDP13" s="7"/>
      <c r="WDW13" s="7"/>
      <c r="WED13" s="7"/>
      <c r="WEK13" s="7"/>
      <c r="WER13" s="7"/>
      <c r="WEY13" s="7"/>
      <c r="WFF13" s="7"/>
      <c r="WFM13" s="7"/>
      <c r="WFT13" s="7"/>
      <c r="WGA13" s="7"/>
      <c r="WGH13" s="7"/>
      <c r="WGO13" s="7"/>
      <c r="WGV13" s="7"/>
      <c r="WHC13" s="7"/>
      <c r="WHJ13" s="7"/>
      <c r="WHQ13" s="7"/>
      <c r="WHX13" s="7"/>
      <c r="WIE13" s="7"/>
      <c r="WIL13" s="7"/>
      <c r="WIS13" s="7"/>
      <c r="WIZ13" s="7"/>
      <c r="WJG13" s="7"/>
      <c r="WJN13" s="7"/>
      <c r="WJU13" s="7"/>
      <c r="WKB13" s="7"/>
      <c r="WKI13" s="7"/>
      <c r="WKP13" s="7"/>
      <c r="WKW13" s="7"/>
      <c r="WLD13" s="7"/>
      <c r="WLK13" s="7"/>
      <c r="WLR13" s="7"/>
      <c r="WLY13" s="7"/>
      <c r="WMF13" s="7"/>
      <c r="WMM13" s="7"/>
      <c r="WMT13" s="7"/>
      <c r="WNA13" s="7"/>
      <c r="WNH13" s="7"/>
      <c r="WNO13" s="7"/>
      <c r="WNV13" s="7"/>
      <c r="WOC13" s="7"/>
      <c r="WOJ13" s="7"/>
      <c r="WOQ13" s="7"/>
      <c r="WOX13" s="7"/>
      <c r="WPE13" s="7"/>
      <c r="WPL13" s="7"/>
      <c r="WPS13" s="7"/>
      <c r="WPZ13" s="7"/>
      <c r="WQG13" s="7"/>
      <c r="WQN13" s="7"/>
      <c r="WQU13" s="7"/>
      <c r="WRB13" s="7"/>
      <c r="WRI13" s="7"/>
      <c r="WRP13" s="7"/>
      <c r="WRW13" s="7"/>
      <c r="WSD13" s="7"/>
      <c r="WSK13" s="7"/>
      <c r="WSR13" s="7"/>
      <c r="WSY13" s="7"/>
      <c r="WTF13" s="7"/>
      <c r="WTM13" s="7"/>
      <c r="WTT13" s="7"/>
      <c r="WUA13" s="7"/>
      <c r="WUH13" s="7"/>
      <c r="WUO13" s="7"/>
      <c r="WUV13" s="7"/>
      <c r="WVC13" s="7"/>
      <c r="WVJ13" s="7"/>
      <c r="WVQ13" s="7"/>
      <c r="WVX13" s="7"/>
      <c r="WWE13" s="7"/>
      <c r="WWL13" s="7"/>
      <c r="WWS13" s="7"/>
      <c r="WWZ13" s="7"/>
      <c r="WXG13" s="7"/>
      <c r="WXN13" s="7"/>
      <c r="WXU13" s="7"/>
      <c r="WYB13" s="7"/>
      <c r="WYI13" s="7"/>
      <c r="WYP13" s="7"/>
      <c r="WYW13" s="7"/>
      <c r="WZD13" s="7"/>
      <c r="WZK13" s="7"/>
      <c r="WZR13" s="7"/>
      <c r="WZY13" s="7"/>
      <c r="XAF13" s="7"/>
      <c r="XAM13" s="7"/>
      <c r="XAT13" s="7"/>
      <c r="XBA13" s="7"/>
      <c r="XBH13" s="7"/>
      <c r="XBO13" s="7"/>
      <c r="XBV13" s="7"/>
      <c r="XCC13" s="7"/>
      <c r="XCJ13" s="7"/>
      <c r="XCQ13" s="7"/>
      <c r="XCX13" s="7"/>
      <c r="XDE13" s="7"/>
      <c r="XDL13" s="7"/>
      <c r="XDS13" s="7"/>
      <c r="XDZ13" s="7"/>
      <c r="XEG13" s="7"/>
      <c r="XEN13" s="7"/>
      <c r="XEU13" s="7"/>
      <c r="XFB13" s="7"/>
    </row>
    <row r="14" spans="1:1024 1031:2046 2053:3068 3075:4090 4097:5119 5126:6141 6148:7163 7170:8192 8199:9214 9221:10236 10243:11258 11265:12287 12294:13309 13316:14331 14338:15360 15367:16382" ht="15.6" x14ac:dyDescent="0.55000000000000004">
      <c r="A14" s="5" t="s">
        <v>20</v>
      </c>
      <c r="B14" s="20">
        <v>2.13</v>
      </c>
      <c r="C14" s="20">
        <v>3.3</v>
      </c>
      <c r="D14" s="20">
        <v>-0.27</v>
      </c>
      <c r="E14" s="20">
        <v>2.95</v>
      </c>
      <c r="F14" s="20">
        <v>5.66</v>
      </c>
      <c r="G14" s="20">
        <v>6.27</v>
      </c>
    </row>
    <row r="15" spans="1:1024 1031:2046 2053:3068 3075:4090 4097:5119 5126:6141 6148:7163 7170:8192 8199:9214 9221:10236 10243:11258 11265:12287 12294:13309 13316:14331 14338:15360 15367:16382" ht="15.6" x14ac:dyDescent="0.55000000000000004">
      <c r="A15" s="5" t="s">
        <v>21</v>
      </c>
      <c r="B15" s="20">
        <v>2.09</v>
      </c>
      <c r="C15" s="20">
        <v>3.24</v>
      </c>
      <c r="D15" s="20">
        <v>-0.27</v>
      </c>
      <c r="E15" s="20">
        <v>2.9</v>
      </c>
      <c r="F15" s="20">
        <v>5.53</v>
      </c>
      <c r="G15" s="20">
        <v>6.14</v>
      </c>
    </row>
    <row r="16" spans="1:1024 1031:2046 2053:3068 3075:4090 4097:5119 5126:6141 6148:7163 7170:8192 8199:9214 9221:10236 10243:11258 11265:12287 12294:13309 13316:14331 14338:15360 15367:16382" ht="15.6" x14ac:dyDescent="0.55000000000000004">
      <c r="A16" s="5" t="s">
        <v>22</v>
      </c>
      <c r="B16" s="20">
        <v>2.09</v>
      </c>
      <c r="C16" s="20">
        <v>2.09</v>
      </c>
      <c r="D16" s="20">
        <v>0.95</v>
      </c>
      <c r="E16" s="20">
        <v>2.84</v>
      </c>
      <c r="F16" s="20">
        <v>5.71</v>
      </c>
      <c r="G16" s="24">
        <v>6.17</v>
      </c>
    </row>
    <row r="17" spans="1:7" ht="15.6" x14ac:dyDescent="0.55000000000000004">
      <c r="A17" s="5" t="s">
        <v>23</v>
      </c>
      <c r="B17" s="6" t="s">
        <v>24</v>
      </c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</row>
    <row r="18" spans="1:7" ht="15.6" x14ac:dyDescent="0.55000000000000004">
      <c r="A18" s="9"/>
      <c r="B18" s="10"/>
      <c r="C18" s="10"/>
      <c r="D18" s="10"/>
      <c r="E18" s="10"/>
      <c r="F18" s="10"/>
      <c r="G18" s="10"/>
    </row>
    <row r="19" spans="1:7" ht="15.6" x14ac:dyDescent="0.55000000000000004">
      <c r="A19" s="2" t="s">
        <v>25</v>
      </c>
      <c r="B19" s="4">
        <v>44166</v>
      </c>
      <c r="C19" s="4">
        <v>44531</v>
      </c>
      <c r="D19" s="4">
        <v>44896</v>
      </c>
      <c r="E19" s="4">
        <v>45261</v>
      </c>
      <c r="F19" s="4">
        <v>45627</v>
      </c>
      <c r="G19" s="3" t="s">
        <v>7</v>
      </c>
    </row>
    <row r="20" spans="1:7" ht="15.6" x14ac:dyDescent="0.55000000000000004">
      <c r="A20" s="5" t="s">
        <v>26</v>
      </c>
      <c r="B20" s="20">
        <v>321.2</v>
      </c>
      <c r="C20" s="20">
        <v>420.55</v>
      </c>
      <c r="D20" s="20">
        <v>462.68</v>
      </c>
      <c r="E20" s="20">
        <v>527.85</v>
      </c>
      <c r="F20" s="20">
        <v>624.89</v>
      </c>
      <c r="G20" s="20">
        <v>643.26</v>
      </c>
    </row>
    <row r="21" spans="1:7" ht="15.6" x14ac:dyDescent="0.55000000000000004">
      <c r="A21" s="5" t="s">
        <v>27</v>
      </c>
      <c r="B21" s="20">
        <v>227.79</v>
      </c>
      <c r="C21" s="20">
        <v>282.3</v>
      </c>
      <c r="D21" s="20">
        <v>316.63</v>
      </c>
      <c r="E21" s="20">
        <v>325.98</v>
      </c>
      <c r="F21" s="20">
        <v>338.92</v>
      </c>
      <c r="G21" s="20">
        <v>337.39</v>
      </c>
    </row>
    <row r="22" spans="1:7" ht="15.6" x14ac:dyDescent="0.55000000000000004">
      <c r="A22" s="5" t="s">
        <v>28</v>
      </c>
      <c r="B22" s="20">
        <v>84.39</v>
      </c>
      <c r="C22" s="20">
        <v>116.4</v>
      </c>
      <c r="D22" s="20">
        <v>140.12</v>
      </c>
      <c r="E22" s="20">
        <v>135.61000000000001</v>
      </c>
      <c r="F22" s="20">
        <v>130.9</v>
      </c>
      <c r="G22" s="20">
        <v>133.25</v>
      </c>
    </row>
    <row r="23" spans="1:7" ht="15.6" x14ac:dyDescent="0.55000000000000004">
      <c r="A23" s="5" t="s">
        <v>29</v>
      </c>
      <c r="B23" s="20">
        <v>93.4</v>
      </c>
      <c r="C23" s="20">
        <v>138.25</v>
      </c>
      <c r="D23" s="20">
        <v>146.04</v>
      </c>
      <c r="E23" s="20">
        <v>201.88</v>
      </c>
      <c r="F23" s="20">
        <v>285.97000000000003</v>
      </c>
      <c r="G23" s="20">
        <v>305.87</v>
      </c>
    </row>
    <row r="24" spans="1:7" ht="15.6" x14ac:dyDescent="0.55000000000000004">
      <c r="A24" s="5" t="s">
        <v>30</v>
      </c>
      <c r="B24" s="20">
        <v>42.12</v>
      </c>
      <c r="C24" s="20">
        <v>36.22</v>
      </c>
      <c r="D24" s="20">
        <v>53.89</v>
      </c>
      <c r="E24" s="20">
        <v>73.39</v>
      </c>
      <c r="F24" s="20">
        <v>78.78</v>
      </c>
      <c r="G24" s="20">
        <v>66.209999999999994</v>
      </c>
    </row>
    <row r="25" spans="1:7" ht="15.6" x14ac:dyDescent="0.55000000000000004">
      <c r="A25" s="5" t="s">
        <v>31</v>
      </c>
      <c r="B25" s="20">
        <v>6.35</v>
      </c>
      <c r="C25" s="20">
        <v>19.309999999999999</v>
      </c>
      <c r="D25" s="20">
        <v>-8.6</v>
      </c>
      <c r="E25" s="20">
        <v>7.43</v>
      </c>
      <c r="F25" s="20">
        <v>11.44</v>
      </c>
      <c r="G25" s="20">
        <v>8.4700000000000006</v>
      </c>
    </row>
    <row r="26" spans="1:7" ht="15.6" x14ac:dyDescent="0.55000000000000004">
      <c r="A26" s="5" t="s">
        <v>32</v>
      </c>
      <c r="B26" s="20">
        <v>10.039999999999999</v>
      </c>
      <c r="C26" s="20">
        <v>10.14</v>
      </c>
      <c r="D26" s="20">
        <v>10.199999999999999</v>
      </c>
      <c r="E26" s="20">
        <v>10.33</v>
      </c>
      <c r="F26" s="20">
        <v>10.52</v>
      </c>
      <c r="G26" s="20">
        <v>10.52</v>
      </c>
    </row>
    <row r="27" spans="1:7" ht="15.6" x14ac:dyDescent="0.55000000000000004">
      <c r="A27" s="5" t="s">
        <v>33</v>
      </c>
      <c r="B27" s="20">
        <v>9.2799999999999994</v>
      </c>
      <c r="C27" s="20">
        <v>13.58</v>
      </c>
      <c r="D27" s="20">
        <v>14.26</v>
      </c>
      <c r="E27" s="20">
        <v>19.440000000000001</v>
      </c>
      <c r="F27" s="20">
        <v>27</v>
      </c>
      <c r="G27" s="20">
        <v>28.82</v>
      </c>
    </row>
    <row r="28" spans="1:7" ht="15.6" x14ac:dyDescent="0.55000000000000004">
      <c r="A28" s="5" t="s">
        <v>34</v>
      </c>
      <c r="B28" s="20">
        <v>0.9</v>
      </c>
      <c r="C28" s="20">
        <v>0.84</v>
      </c>
      <c r="D28" s="20">
        <v>0.96</v>
      </c>
      <c r="E28" s="20">
        <v>0.67</v>
      </c>
      <c r="F28" s="20">
        <v>0.46</v>
      </c>
      <c r="G28" s="20">
        <v>0.44</v>
      </c>
    </row>
    <row r="29" spans="1:7" ht="15.6" x14ac:dyDescent="0.55000000000000004">
      <c r="A29" s="9"/>
      <c r="B29" s="10"/>
      <c r="C29" s="10"/>
      <c r="D29" s="10"/>
      <c r="E29" s="10"/>
      <c r="F29" s="10"/>
      <c r="G29" s="10"/>
    </row>
    <row r="30" spans="1:7" ht="31.2" x14ac:dyDescent="0.55000000000000004">
      <c r="A30" s="2" t="s">
        <v>35</v>
      </c>
      <c r="B30" s="4">
        <v>44166</v>
      </c>
      <c r="C30" s="4">
        <v>44531</v>
      </c>
      <c r="D30" s="4">
        <v>44896</v>
      </c>
      <c r="E30" s="4">
        <v>45261</v>
      </c>
      <c r="F30" s="4">
        <v>45627</v>
      </c>
      <c r="G30" s="3" t="s">
        <v>7</v>
      </c>
    </row>
    <row r="31" spans="1:7" ht="15.6" x14ac:dyDescent="0.55000000000000004">
      <c r="A31" s="5" t="s">
        <v>36</v>
      </c>
      <c r="B31" s="20">
        <v>66.06</v>
      </c>
      <c r="C31" s="20">
        <v>46.33</v>
      </c>
      <c r="D31" s="20">
        <v>46.75</v>
      </c>
      <c r="E31" s="20">
        <v>84.95</v>
      </c>
      <c r="F31" s="20">
        <v>115.88</v>
      </c>
      <c r="G31" s="20">
        <v>113.9</v>
      </c>
    </row>
    <row r="32" spans="1:7" ht="15.6" x14ac:dyDescent="0.55000000000000004">
      <c r="A32" s="5" t="s">
        <v>37</v>
      </c>
      <c r="B32" s="20">
        <v>-59.61</v>
      </c>
      <c r="C32" s="20">
        <v>-58.15</v>
      </c>
      <c r="D32" s="20">
        <v>-37.6</v>
      </c>
      <c r="E32" s="20">
        <v>-49.83</v>
      </c>
      <c r="F32" s="20">
        <v>-94.34</v>
      </c>
      <c r="G32" s="20">
        <v>-106.28</v>
      </c>
    </row>
    <row r="33" spans="1:7" ht="15.6" x14ac:dyDescent="0.55000000000000004">
      <c r="A33" s="5" t="s">
        <v>38</v>
      </c>
      <c r="B33" s="20">
        <v>-1.1000000000000001</v>
      </c>
      <c r="C33" s="20">
        <v>6.29</v>
      </c>
      <c r="D33" s="20">
        <v>9.7200000000000006</v>
      </c>
      <c r="E33" s="20">
        <v>-15.88</v>
      </c>
      <c r="F33" s="20">
        <v>-11.81</v>
      </c>
      <c r="G33" s="20">
        <v>-10.6</v>
      </c>
    </row>
    <row r="34" spans="1:7" ht="15.6" x14ac:dyDescent="0.55000000000000004">
      <c r="A34" s="5" t="s">
        <v>39</v>
      </c>
      <c r="B34" s="20">
        <v>40.14</v>
      </c>
      <c r="C34" s="20">
        <v>61.05</v>
      </c>
      <c r="D34" s="20">
        <v>63.65</v>
      </c>
      <c r="E34" s="20">
        <v>52.73</v>
      </c>
      <c r="F34" s="20">
        <v>83</v>
      </c>
      <c r="G34" s="20">
        <v>93.09</v>
      </c>
    </row>
    <row r="35" spans="1:7" ht="15.6" x14ac:dyDescent="0.55000000000000004">
      <c r="A35" s="5" t="s">
        <v>40</v>
      </c>
      <c r="B35" s="20">
        <v>12.44</v>
      </c>
      <c r="C35" s="20">
        <v>4.8899999999999997</v>
      </c>
      <c r="D35" s="20">
        <v>3.99</v>
      </c>
      <c r="E35" s="20">
        <v>43.76</v>
      </c>
      <c r="F35" s="20">
        <v>48.42</v>
      </c>
      <c r="G35" s="20">
        <v>42.22</v>
      </c>
    </row>
    <row r="36" spans="1:7" ht="15.6" x14ac:dyDescent="0.55000000000000004">
      <c r="A36" s="5" t="s">
        <v>41</v>
      </c>
      <c r="B36" s="20">
        <v>5.35</v>
      </c>
      <c r="C36" s="20">
        <v>-5.54</v>
      </c>
      <c r="D36" s="20">
        <v>18.87</v>
      </c>
      <c r="E36" s="20">
        <v>19.23</v>
      </c>
      <c r="F36" s="20">
        <v>9.7200000000000006</v>
      </c>
      <c r="G36" s="20">
        <v>-2.98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62D9-1C34-424C-843A-ADA76B224F45}">
  <dimension ref="A1:G26"/>
  <sheetViews>
    <sheetView workbookViewId="0">
      <selection activeCell="J25" sqref="J25"/>
    </sheetView>
  </sheetViews>
  <sheetFormatPr defaultRowHeight="14.4" x14ac:dyDescent="0.55000000000000004"/>
  <cols>
    <col min="1" max="1" width="35.89453125" style="11" customWidth="1"/>
    <col min="2" max="2" width="6.89453125" style="11" bestFit="1" customWidth="1"/>
    <col min="3" max="6" width="7.83984375" style="11" bestFit="1" customWidth="1"/>
    <col min="7" max="7" width="11.62890625" style="11" bestFit="1" customWidth="1"/>
    <col min="8" max="16384" width="8.83984375" style="11"/>
  </cols>
  <sheetData>
    <row r="1" spans="1:7" ht="15.6" x14ac:dyDescent="0.55000000000000004">
      <c r="A1" s="2" t="s">
        <v>6</v>
      </c>
      <c r="B1" s="4">
        <v>44166</v>
      </c>
      <c r="C1" s="4">
        <v>44531</v>
      </c>
      <c r="D1" s="4">
        <v>44896</v>
      </c>
      <c r="E1" s="4">
        <v>45261</v>
      </c>
      <c r="F1" s="4">
        <v>45627</v>
      </c>
      <c r="G1" s="3" t="s">
        <v>7</v>
      </c>
    </row>
    <row r="2" spans="1:7" ht="15.6" x14ac:dyDescent="0.55000000000000004">
      <c r="A2" s="5" t="s">
        <v>8</v>
      </c>
      <c r="B2" s="20">
        <v>2.74</v>
      </c>
      <c r="C2" s="20">
        <v>3.68</v>
      </c>
      <c r="D2" s="20">
        <v>4.3099999999999996</v>
      </c>
      <c r="E2" s="20">
        <v>5.9</v>
      </c>
      <c r="F2" s="20">
        <v>5.99</v>
      </c>
      <c r="G2" s="20">
        <v>5.86</v>
      </c>
    </row>
    <row r="3" spans="1:7" ht="15.6" x14ac:dyDescent="0.55000000000000004">
      <c r="A3" s="7" t="s">
        <v>9</v>
      </c>
      <c r="B3" s="25">
        <v>9.7299999999999998E-2</v>
      </c>
      <c r="C3" s="25">
        <v>0.34429999999999999</v>
      </c>
      <c r="D3" s="25">
        <v>0.16300000000000001</v>
      </c>
      <c r="E3" s="25">
        <v>0.36749999999999999</v>
      </c>
      <c r="F3" s="25">
        <v>1.9300000000000001E-2</v>
      </c>
      <c r="G3" s="25">
        <v>1.47E-2</v>
      </c>
    </row>
    <row r="4" spans="1:7" ht="15.6" x14ac:dyDescent="0.55000000000000004">
      <c r="A4" s="5" t="s">
        <v>18</v>
      </c>
      <c r="B4" s="20">
        <v>0.25</v>
      </c>
      <c r="C4" s="20">
        <v>0.53</v>
      </c>
      <c r="D4" s="20">
        <v>1.45</v>
      </c>
      <c r="E4" s="20">
        <v>1.52</v>
      </c>
      <c r="F4" s="20">
        <v>1.4</v>
      </c>
      <c r="G4" s="20">
        <v>1.39</v>
      </c>
    </row>
    <row r="5" spans="1:7" ht="15.6" x14ac:dyDescent="0.55000000000000004">
      <c r="A5" s="7" t="s">
        <v>19</v>
      </c>
      <c r="B5" s="25">
        <v>9.8900000000000002E-2</v>
      </c>
      <c r="C5" s="25">
        <v>0.15190000000000001</v>
      </c>
      <c r="D5" s="25">
        <v>0.3422</v>
      </c>
      <c r="E5" s="25">
        <v>0.26300000000000001</v>
      </c>
      <c r="F5" s="25">
        <v>0.2402</v>
      </c>
      <c r="G5" s="25">
        <v>0.24310000000000001</v>
      </c>
    </row>
    <row r="6" spans="1:7" ht="15.6" x14ac:dyDescent="0.55000000000000004">
      <c r="A6" s="5" t="s">
        <v>20</v>
      </c>
      <c r="B6" s="20">
        <v>0.72</v>
      </c>
      <c r="C6" s="20">
        <v>0.74</v>
      </c>
      <c r="D6" s="20">
        <v>2.0499999999999998</v>
      </c>
      <c r="E6" s="20">
        <v>2.15</v>
      </c>
      <c r="F6" s="20">
        <v>1.98</v>
      </c>
      <c r="G6" s="20">
        <v>1.96</v>
      </c>
    </row>
    <row r="7" spans="1:7" ht="15.6" x14ac:dyDescent="0.55000000000000004">
      <c r="A7" s="7" t="s">
        <v>21</v>
      </c>
      <c r="B7" s="20">
        <v>0.68</v>
      </c>
      <c r="C7" s="20">
        <v>0.73</v>
      </c>
      <c r="D7" s="20">
        <v>2</v>
      </c>
      <c r="E7" s="20">
        <v>2.1</v>
      </c>
      <c r="F7" s="20">
        <v>1.94</v>
      </c>
      <c r="G7" s="20">
        <v>1.92</v>
      </c>
    </row>
    <row r="8" spans="1:7" ht="15.6" x14ac:dyDescent="0.55000000000000004">
      <c r="A8" s="5" t="s">
        <v>22</v>
      </c>
      <c r="B8" s="20">
        <v>1.32</v>
      </c>
      <c r="C8" s="20">
        <v>2.76</v>
      </c>
      <c r="D8" s="20">
        <v>0.66</v>
      </c>
      <c r="E8" s="20">
        <v>2.21</v>
      </c>
      <c r="F8" s="20">
        <v>2.2000000000000002</v>
      </c>
      <c r="G8" s="20">
        <v>2.39</v>
      </c>
    </row>
    <row r="9" spans="1:7" ht="15.6" x14ac:dyDescent="0.55000000000000004">
      <c r="A9" s="7" t="s">
        <v>23</v>
      </c>
      <c r="B9" s="8">
        <v>0.73</v>
      </c>
      <c r="C9" s="8">
        <v>0.08</v>
      </c>
      <c r="D9" s="8">
        <v>0.12</v>
      </c>
      <c r="E9" s="8">
        <v>0.24</v>
      </c>
      <c r="F9" s="8">
        <v>0.6</v>
      </c>
      <c r="G9" s="8">
        <v>0.6</v>
      </c>
    </row>
    <row r="10" spans="1:7" ht="15.6" x14ac:dyDescent="0.55000000000000004">
      <c r="A10" s="5"/>
      <c r="B10" s="6"/>
      <c r="C10" s="6"/>
      <c r="D10" s="6"/>
      <c r="E10" s="6"/>
      <c r="F10" s="6"/>
      <c r="G10" s="6"/>
    </row>
    <row r="11" spans="1:7" ht="15.6" x14ac:dyDescent="0.55000000000000004">
      <c r="A11" s="2" t="s">
        <v>25</v>
      </c>
      <c r="B11" s="4">
        <v>44166</v>
      </c>
      <c r="C11" s="4">
        <v>44531</v>
      </c>
      <c r="D11" s="4">
        <v>44896</v>
      </c>
      <c r="E11" s="4">
        <v>45261</v>
      </c>
      <c r="F11" s="4">
        <v>45627</v>
      </c>
      <c r="G11" s="3" t="s">
        <v>7</v>
      </c>
    </row>
    <row r="12" spans="1:7" ht="15.6" x14ac:dyDescent="0.55000000000000004">
      <c r="A12" s="5" t="s">
        <v>26</v>
      </c>
      <c r="B12" s="20">
        <v>93.05</v>
      </c>
      <c r="C12" s="20">
        <v>136.35</v>
      </c>
      <c r="D12" s="20">
        <v>152.30000000000001</v>
      </c>
      <c r="E12" s="20">
        <v>142.13</v>
      </c>
      <c r="F12" s="20">
        <v>140.59</v>
      </c>
      <c r="G12" s="20">
        <v>141.96</v>
      </c>
    </row>
    <row r="13" spans="1:7" ht="15.6" x14ac:dyDescent="0.55000000000000004">
      <c r="A13" s="7" t="s">
        <v>27</v>
      </c>
      <c r="B13" s="20">
        <v>86.72</v>
      </c>
      <c r="C13" s="20">
        <v>129.49</v>
      </c>
      <c r="D13" s="20">
        <v>144.18</v>
      </c>
      <c r="E13" s="20">
        <v>132.56</v>
      </c>
      <c r="F13" s="20">
        <v>129.03</v>
      </c>
      <c r="G13" s="20">
        <v>129.96</v>
      </c>
    </row>
    <row r="14" spans="1:7" ht="15.6" x14ac:dyDescent="0.55000000000000004">
      <c r="A14" s="5" t="s">
        <v>28</v>
      </c>
      <c r="B14" s="20">
        <v>82.26</v>
      </c>
      <c r="C14" s="20">
        <v>123.76</v>
      </c>
      <c r="D14" s="20">
        <v>132.85</v>
      </c>
      <c r="E14" s="20">
        <v>124.02</v>
      </c>
      <c r="F14" s="20">
        <v>121.34</v>
      </c>
      <c r="G14" s="20">
        <v>120.17</v>
      </c>
    </row>
    <row r="15" spans="1:7" ht="15.6" x14ac:dyDescent="0.55000000000000004">
      <c r="A15" s="5" t="s">
        <v>29</v>
      </c>
      <c r="B15" s="20">
        <v>6.33</v>
      </c>
      <c r="C15" s="20">
        <v>6.86</v>
      </c>
      <c r="D15" s="20">
        <v>8.1199999999999992</v>
      </c>
      <c r="E15" s="20">
        <v>9.57</v>
      </c>
      <c r="F15" s="20">
        <v>11.56</v>
      </c>
      <c r="G15" s="20">
        <v>11.99</v>
      </c>
    </row>
    <row r="16" spans="1:7" ht="15.6" x14ac:dyDescent="0.55000000000000004">
      <c r="A16" s="5" t="s">
        <v>30</v>
      </c>
      <c r="B16" s="20">
        <v>8.98</v>
      </c>
      <c r="C16" s="20">
        <v>21.77</v>
      </c>
      <c r="D16" s="20">
        <v>15.43</v>
      </c>
      <c r="E16" s="20">
        <v>11.2</v>
      </c>
      <c r="F16" s="20">
        <v>8.99</v>
      </c>
      <c r="G16" s="20">
        <v>8.61</v>
      </c>
    </row>
    <row r="17" spans="1:7" ht="15.6" x14ac:dyDescent="0.55000000000000004">
      <c r="A17" s="5" t="s">
        <v>42</v>
      </c>
      <c r="B17" s="20">
        <v>421.18</v>
      </c>
      <c r="C17" s="20">
        <v>705.54</v>
      </c>
      <c r="D17" s="20">
        <v>705.56</v>
      </c>
      <c r="E17" s="20">
        <v>707.59</v>
      </c>
      <c r="F17" s="20">
        <v>709.74</v>
      </c>
      <c r="G17" s="20">
        <v>707.79</v>
      </c>
    </row>
    <row r="18" spans="1:7" ht="15.6" x14ac:dyDescent="0.55000000000000004">
      <c r="A18" s="9" t="s">
        <v>33</v>
      </c>
      <c r="B18" s="20">
        <v>8.77</v>
      </c>
      <c r="C18" s="20">
        <v>9.49</v>
      </c>
      <c r="D18" s="20">
        <v>11.23</v>
      </c>
      <c r="E18" s="20">
        <v>13.24</v>
      </c>
      <c r="F18" s="20">
        <v>16.04</v>
      </c>
      <c r="G18" s="20">
        <v>16.64</v>
      </c>
    </row>
    <row r="19" spans="1:7" ht="15.6" x14ac:dyDescent="0.55000000000000004">
      <c r="A19" s="9" t="s">
        <v>34</v>
      </c>
      <c r="B19" s="20">
        <v>12.99</v>
      </c>
      <c r="C19" s="20">
        <v>18.04</v>
      </c>
      <c r="D19" s="20">
        <v>16.36</v>
      </c>
      <c r="E19" s="20">
        <v>12.96</v>
      </c>
      <c r="F19" s="20">
        <v>10.49</v>
      </c>
      <c r="G19" s="20">
        <v>10.02</v>
      </c>
    </row>
    <row r="20" spans="1:7" ht="15.6" x14ac:dyDescent="0.55000000000000004">
      <c r="A20" s="5"/>
      <c r="B20" s="6"/>
      <c r="C20" s="6"/>
      <c r="D20" s="6"/>
      <c r="E20" s="6"/>
      <c r="F20" s="6"/>
      <c r="G20" s="6"/>
    </row>
    <row r="21" spans="1:7" ht="15.6" x14ac:dyDescent="0.55000000000000004">
      <c r="A21" s="2" t="s">
        <v>6</v>
      </c>
      <c r="B21" s="4">
        <v>44166</v>
      </c>
      <c r="C21" s="4">
        <v>44531</v>
      </c>
      <c r="D21" s="4">
        <v>44896</v>
      </c>
      <c r="E21" s="4">
        <v>45261</v>
      </c>
      <c r="F21" s="4">
        <v>45627</v>
      </c>
      <c r="G21" s="3" t="s">
        <v>7</v>
      </c>
    </row>
    <row r="22" spans="1:7" ht="15.6" x14ac:dyDescent="0.55000000000000004">
      <c r="A22" s="5" t="s">
        <v>36</v>
      </c>
      <c r="B22" s="20">
        <v>-0.63</v>
      </c>
      <c r="C22" s="20">
        <v>1.26</v>
      </c>
      <c r="D22" s="20">
        <v>12.79</v>
      </c>
      <c r="E22" s="20">
        <v>-3.42</v>
      </c>
      <c r="F22" s="20">
        <v>-2.5</v>
      </c>
      <c r="G22" s="20">
        <v>-2.5</v>
      </c>
    </row>
    <row r="23" spans="1:7" ht="15.6" x14ac:dyDescent="0.55000000000000004">
      <c r="A23" s="5" t="s">
        <v>37</v>
      </c>
      <c r="B23" s="20">
        <v>-0.22</v>
      </c>
      <c r="C23" s="20">
        <v>-0.74</v>
      </c>
      <c r="D23" s="20">
        <v>-0.02</v>
      </c>
      <c r="E23" s="20">
        <v>-0.31</v>
      </c>
      <c r="F23" s="20">
        <v>-0.22</v>
      </c>
      <c r="G23" s="20">
        <v>-0.22</v>
      </c>
    </row>
    <row r="24" spans="1:7" ht="15.6" x14ac:dyDescent="0.55000000000000004">
      <c r="A24" s="5" t="s">
        <v>38</v>
      </c>
      <c r="B24" s="20">
        <v>0.77</v>
      </c>
      <c r="C24" s="20">
        <v>-0.06</v>
      </c>
      <c r="D24" s="20">
        <v>-0.09</v>
      </c>
      <c r="E24" s="20">
        <v>-0.18</v>
      </c>
      <c r="F24" s="20">
        <v>0.51</v>
      </c>
      <c r="G24" s="20">
        <v>0.51</v>
      </c>
    </row>
    <row r="25" spans="1:7" ht="15.6" x14ac:dyDescent="0.55000000000000004">
      <c r="A25" s="5" t="s">
        <v>40</v>
      </c>
      <c r="B25" s="20">
        <v>0.81</v>
      </c>
      <c r="C25" s="20">
        <v>1.05</v>
      </c>
      <c r="D25" s="20">
        <v>1.53</v>
      </c>
      <c r="E25" s="20">
        <v>2.72</v>
      </c>
      <c r="F25" s="20">
        <v>2.66</v>
      </c>
      <c r="G25" s="20">
        <v>2.66</v>
      </c>
    </row>
    <row r="26" spans="1:7" ht="15.6" x14ac:dyDescent="0.55000000000000004">
      <c r="A26" s="5" t="s">
        <v>41</v>
      </c>
      <c r="B26" s="20">
        <v>-0.09</v>
      </c>
      <c r="C26" s="20">
        <v>0.46</v>
      </c>
      <c r="D26" s="20">
        <v>12.69</v>
      </c>
      <c r="E26" s="20">
        <v>-3.91</v>
      </c>
      <c r="F26" s="20">
        <v>-2.2000000000000002</v>
      </c>
      <c r="G26" s="20">
        <v>-2.2000000000000002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C88B-880A-4B87-AD8A-FBBFB305FA84}">
  <dimension ref="A1:G36"/>
  <sheetViews>
    <sheetView workbookViewId="0">
      <selection activeCell="B1" sqref="B1:G37"/>
    </sheetView>
  </sheetViews>
  <sheetFormatPr defaultRowHeight="14.4" x14ac:dyDescent="0.55000000000000004"/>
  <cols>
    <col min="1" max="1" width="44.1015625" customWidth="1"/>
    <col min="2" max="2" width="11.1015625" bestFit="1" customWidth="1"/>
    <col min="5" max="5" width="9" customWidth="1"/>
    <col min="7" max="7" width="13" customWidth="1"/>
  </cols>
  <sheetData>
    <row r="1" spans="1:7" ht="15.6" x14ac:dyDescent="0.55000000000000004">
      <c r="A1" s="2" t="s">
        <v>6</v>
      </c>
      <c r="B1" s="4">
        <v>43800</v>
      </c>
      <c r="C1" s="4">
        <v>44166</v>
      </c>
      <c r="D1" s="4">
        <v>44531</v>
      </c>
      <c r="E1" s="4">
        <v>44896</v>
      </c>
      <c r="F1" s="4">
        <v>45261</v>
      </c>
      <c r="G1" s="4">
        <v>45657</v>
      </c>
    </row>
    <row r="2" spans="1:7" ht="15.6" x14ac:dyDescent="0.55000000000000004">
      <c r="A2" s="5" t="s">
        <v>8</v>
      </c>
      <c r="B2" s="20">
        <v>3.22</v>
      </c>
      <c r="C2" s="20">
        <v>3.22</v>
      </c>
      <c r="D2" s="20">
        <v>3.45</v>
      </c>
      <c r="E2" s="20">
        <v>4</v>
      </c>
      <c r="F2" s="20">
        <v>4.32</v>
      </c>
      <c r="G2" s="20">
        <v>4.3099999999999996</v>
      </c>
    </row>
    <row r="3" spans="1:7" ht="15.6" x14ac:dyDescent="0.55000000000000004">
      <c r="A3" s="7" t="s">
        <v>9</v>
      </c>
      <c r="B3" s="25">
        <v>0.1211</v>
      </c>
      <c r="C3" s="25">
        <v>2.9999999999999997E-4</v>
      </c>
      <c r="D3" s="25">
        <v>6.9199999999999998E-2</v>
      </c>
      <c r="E3" s="25">
        <v>0.15959999999999999</v>
      </c>
      <c r="F3" s="25">
        <v>8.0600000000000005E-2</v>
      </c>
      <c r="G3" s="25">
        <v>-1E-3</v>
      </c>
    </row>
    <row r="4" spans="1:7" ht="15.6" x14ac:dyDescent="0.55000000000000004">
      <c r="A4" s="5" t="s">
        <v>10</v>
      </c>
      <c r="B4" s="20">
        <v>2.0299999999999998</v>
      </c>
      <c r="C4" s="20">
        <v>2.0499999999999998</v>
      </c>
      <c r="D4" s="20">
        <v>2.09</v>
      </c>
      <c r="E4" s="20">
        <v>2.36</v>
      </c>
      <c r="F4" s="20">
        <v>2.75</v>
      </c>
      <c r="G4" s="20">
        <v>2.82</v>
      </c>
    </row>
    <row r="5" spans="1:7" ht="15.6" x14ac:dyDescent="0.55000000000000004">
      <c r="A5" s="7" t="s">
        <v>11</v>
      </c>
      <c r="B5" s="25">
        <v>0.63049999999999995</v>
      </c>
      <c r="C5" s="25">
        <v>0.63639999999999997</v>
      </c>
      <c r="D5" s="25">
        <v>0.6069</v>
      </c>
      <c r="E5" s="25">
        <v>0.5917</v>
      </c>
      <c r="F5" s="25">
        <v>0.63700000000000001</v>
      </c>
      <c r="G5" s="25">
        <v>0.65410000000000001</v>
      </c>
    </row>
    <row r="6" spans="1:7" ht="15.6" x14ac:dyDescent="0.55000000000000004">
      <c r="A6" s="5" t="s">
        <v>12</v>
      </c>
      <c r="B6" s="20">
        <v>0.47</v>
      </c>
      <c r="C6" s="20">
        <v>0.52</v>
      </c>
      <c r="D6" s="20">
        <v>0.53</v>
      </c>
      <c r="E6" s="20">
        <v>0.61</v>
      </c>
      <c r="F6" s="20">
        <v>0.98</v>
      </c>
      <c r="G6" s="20">
        <v>0.99</v>
      </c>
    </row>
    <row r="7" spans="1:7" ht="15.6" x14ac:dyDescent="0.55000000000000004">
      <c r="A7" s="7" t="s">
        <v>13</v>
      </c>
      <c r="B7" s="25">
        <v>0.14449999999999999</v>
      </c>
      <c r="C7" s="25">
        <v>0.16020000000000001</v>
      </c>
      <c r="D7" s="25">
        <v>0.155</v>
      </c>
      <c r="E7" s="25">
        <v>0.15310000000000001</v>
      </c>
      <c r="F7" s="25">
        <v>0.22589999999999999</v>
      </c>
      <c r="G7" s="25">
        <v>0.2296</v>
      </c>
    </row>
    <row r="8" spans="1:7" ht="15.6" x14ac:dyDescent="0.55000000000000004">
      <c r="A8" s="5" t="s">
        <v>14</v>
      </c>
      <c r="B8" s="20">
        <v>0.52</v>
      </c>
      <c r="C8" s="20">
        <v>0.73</v>
      </c>
      <c r="D8" s="20">
        <v>0.66</v>
      </c>
      <c r="E8" s="20">
        <v>0.59</v>
      </c>
      <c r="F8" s="20">
        <v>1.1299999999999999</v>
      </c>
      <c r="G8" s="20">
        <v>1.05</v>
      </c>
    </row>
    <row r="9" spans="1:7" ht="15.6" x14ac:dyDescent="0.55000000000000004">
      <c r="A9" s="7" t="s">
        <v>15</v>
      </c>
      <c r="B9" s="25">
        <v>0.161</v>
      </c>
      <c r="C9" s="25">
        <v>0.2278</v>
      </c>
      <c r="D9" s="25">
        <v>0.19209999999999999</v>
      </c>
      <c r="E9" s="25">
        <v>0.14710000000000001</v>
      </c>
      <c r="F9" s="25">
        <v>0.26269999999999999</v>
      </c>
      <c r="G9" s="25">
        <v>0.24349999999999999</v>
      </c>
    </row>
    <row r="10" spans="1:7" ht="15.6" x14ac:dyDescent="0.55000000000000004">
      <c r="A10" s="5" t="s">
        <v>16</v>
      </c>
      <c r="B10" s="20">
        <v>0.78</v>
      </c>
      <c r="C10" s="20">
        <v>0.99</v>
      </c>
      <c r="D10" s="20">
        <v>0.91</v>
      </c>
      <c r="E10" s="20">
        <v>0.98</v>
      </c>
      <c r="F10" s="20">
        <v>1.38</v>
      </c>
      <c r="G10" s="20">
        <v>1.32</v>
      </c>
    </row>
    <row r="11" spans="1:7" ht="15.6" x14ac:dyDescent="0.55000000000000004">
      <c r="A11" s="7" t="s">
        <v>17</v>
      </c>
      <c r="B11" s="25">
        <v>0.2417</v>
      </c>
      <c r="C11" s="25">
        <v>0.30640000000000001</v>
      </c>
      <c r="D11" s="25">
        <v>0.26440000000000002</v>
      </c>
      <c r="E11" s="25">
        <v>0.2445</v>
      </c>
      <c r="F11" s="25">
        <v>0.32019999999999998</v>
      </c>
      <c r="G11" s="25">
        <v>0.30669999999999997</v>
      </c>
    </row>
    <row r="12" spans="1:7" ht="15.6" x14ac:dyDescent="0.55000000000000004">
      <c r="A12" s="5" t="s">
        <v>18</v>
      </c>
      <c r="B12" s="20">
        <v>0.39</v>
      </c>
      <c r="C12" s="20">
        <v>0.56000000000000005</v>
      </c>
      <c r="D12" s="20">
        <v>0.54</v>
      </c>
      <c r="E12" s="20">
        <v>0.46</v>
      </c>
      <c r="F12" s="20">
        <v>0.97</v>
      </c>
      <c r="G12" s="20">
        <v>0.94</v>
      </c>
    </row>
    <row r="13" spans="1:7" ht="15.6" x14ac:dyDescent="0.55000000000000004">
      <c r="A13" s="7" t="s">
        <v>19</v>
      </c>
      <c r="B13" s="25">
        <v>0.1198</v>
      </c>
      <c r="C13" s="25">
        <v>0.1739</v>
      </c>
      <c r="D13" s="25">
        <v>0.15740000000000001</v>
      </c>
      <c r="E13" s="25">
        <v>0.1148</v>
      </c>
      <c r="F13" s="25">
        <v>0.22389999999999999</v>
      </c>
      <c r="G13" s="25">
        <v>0.2185</v>
      </c>
    </row>
    <row r="14" spans="1:7" ht="15.6" x14ac:dyDescent="0.55000000000000004">
      <c r="A14" s="5" t="s">
        <v>20</v>
      </c>
      <c r="B14" s="20">
        <v>1.88</v>
      </c>
      <c r="C14" s="20">
        <v>2.72</v>
      </c>
      <c r="D14" s="20">
        <v>2.82</v>
      </c>
      <c r="E14" s="20">
        <v>2.46</v>
      </c>
      <c r="F14" s="20">
        <v>5.22</v>
      </c>
      <c r="G14" s="20">
        <v>5.14</v>
      </c>
    </row>
    <row r="15" spans="1:7" ht="15.6" x14ac:dyDescent="0.55000000000000004">
      <c r="A15" s="5" t="s">
        <v>21</v>
      </c>
      <c r="B15" s="20">
        <v>1.88</v>
      </c>
      <c r="C15" s="20">
        <v>2.72</v>
      </c>
      <c r="D15" s="20">
        <v>2.82</v>
      </c>
      <c r="E15" s="20">
        <v>2.44</v>
      </c>
      <c r="F15" s="20">
        <v>5.22</v>
      </c>
      <c r="G15" s="20">
        <v>5.0999999999999996</v>
      </c>
    </row>
    <row r="16" spans="1:7" ht="15.6" x14ac:dyDescent="0.55000000000000004">
      <c r="A16" s="5" t="s">
        <v>22</v>
      </c>
      <c r="B16" s="20">
        <v>1.76</v>
      </c>
      <c r="C16" s="20">
        <v>2.31</v>
      </c>
      <c r="D16" s="20">
        <v>2.5099999999999998</v>
      </c>
      <c r="E16" s="20">
        <v>3.14</v>
      </c>
      <c r="F16" s="20">
        <v>5.25</v>
      </c>
      <c r="G16" s="20">
        <v>4.8099999999999996</v>
      </c>
    </row>
    <row r="17" spans="1:7" ht="15.6" x14ac:dyDescent="0.55000000000000004">
      <c r="A17" s="5" t="s">
        <v>23</v>
      </c>
      <c r="B17" s="20">
        <v>0.13</v>
      </c>
      <c r="C17" s="20">
        <v>0.15</v>
      </c>
      <c r="D17" s="20">
        <v>1</v>
      </c>
      <c r="E17" s="20">
        <v>0.4</v>
      </c>
      <c r="F17" s="20">
        <v>0.45</v>
      </c>
      <c r="G17" s="20">
        <v>0.6</v>
      </c>
    </row>
    <row r="18" spans="1:7" ht="15.6" x14ac:dyDescent="0.55000000000000004">
      <c r="A18" s="9"/>
      <c r="B18" s="10"/>
      <c r="C18" s="10"/>
      <c r="D18" s="10"/>
      <c r="E18" s="10"/>
      <c r="F18" s="10"/>
      <c r="G18" s="10"/>
    </row>
    <row r="19" spans="1:7" ht="15.6" x14ac:dyDescent="0.55000000000000004">
      <c r="A19" s="2" t="s">
        <v>25</v>
      </c>
      <c r="B19" s="4">
        <v>43800</v>
      </c>
      <c r="C19" s="4">
        <v>44166</v>
      </c>
      <c r="D19" s="4">
        <v>44531</v>
      </c>
      <c r="E19" s="4">
        <v>44896</v>
      </c>
      <c r="F19" s="4">
        <v>45261</v>
      </c>
      <c r="G19" s="4">
        <v>45657</v>
      </c>
    </row>
    <row r="20" spans="1:7" ht="15.6" x14ac:dyDescent="0.55000000000000004">
      <c r="A20" s="5" t="s">
        <v>26</v>
      </c>
      <c r="B20" s="20">
        <v>6.4</v>
      </c>
      <c r="C20" s="20">
        <v>6.39</v>
      </c>
      <c r="D20" s="20">
        <v>6.92</v>
      </c>
      <c r="E20" s="20">
        <v>7.5</v>
      </c>
      <c r="F20" s="20">
        <v>7.62</v>
      </c>
      <c r="G20" s="20">
        <v>7.62</v>
      </c>
    </row>
    <row r="21" spans="1:7" ht="15.6" x14ac:dyDescent="0.55000000000000004">
      <c r="A21" s="5" t="s">
        <v>27</v>
      </c>
      <c r="B21" s="20">
        <v>2.71</v>
      </c>
      <c r="C21" s="20">
        <v>2.78</v>
      </c>
      <c r="D21" s="20">
        <v>2.5499999999999998</v>
      </c>
      <c r="E21" s="20">
        <v>2.59</v>
      </c>
      <c r="F21" s="20">
        <v>1.98</v>
      </c>
      <c r="G21" s="20">
        <v>1.98</v>
      </c>
    </row>
    <row r="22" spans="1:7" ht="15.6" x14ac:dyDescent="0.55000000000000004">
      <c r="A22" s="5" t="s">
        <v>28</v>
      </c>
      <c r="B22" s="20">
        <v>1.37</v>
      </c>
      <c r="C22" s="20">
        <v>1.32</v>
      </c>
      <c r="D22" s="20">
        <v>1.22</v>
      </c>
      <c r="E22" s="20">
        <v>1.29</v>
      </c>
      <c r="F22" s="20">
        <v>0.69</v>
      </c>
      <c r="G22" s="20">
        <v>0.69</v>
      </c>
    </row>
    <row r="23" spans="1:7" ht="15.6" x14ac:dyDescent="0.55000000000000004">
      <c r="A23" s="5" t="s">
        <v>29</v>
      </c>
      <c r="B23" s="20">
        <v>3.69</v>
      </c>
      <c r="C23" s="20">
        <v>3.6</v>
      </c>
      <c r="D23" s="20">
        <v>4.38</v>
      </c>
      <c r="E23" s="20">
        <v>4.91</v>
      </c>
      <c r="F23" s="20">
        <v>5.63</v>
      </c>
      <c r="G23" s="20">
        <v>5.63</v>
      </c>
    </row>
    <row r="24" spans="1:7" ht="15.6" x14ac:dyDescent="0.55000000000000004">
      <c r="A24" s="5" t="s">
        <v>30</v>
      </c>
      <c r="B24" s="20">
        <v>0.84</v>
      </c>
      <c r="C24" s="20">
        <v>1.22</v>
      </c>
      <c r="D24" s="20">
        <v>1.2</v>
      </c>
      <c r="E24" s="20">
        <v>1.34</v>
      </c>
      <c r="F24" s="20">
        <v>1.1200000000000001</v>
      </c>
      <c r="G24" s="20">
        <v>1.1200000000000001</v>
      </c>
    </row>
    <row r="25" spans="1:7" ht="15.6" x14ac:dyDescent="0.55000000000000004">
      <c r="A25" s="5" t="s">
        <v>31</v>
      </c>
      <c r="B25" s="20">
        <v>1.32</v>
      </c>
      <c r="C25" s="20">
        <v>1.5</v>
      </c>
      <c r="D25" s="20">
        <v>1.57</v>
      </c>
      <c r="E25" s="20">
        <v>1.54</v>
      </c>
      <c r="F25" s="20">
        <v>1.96</v>
      </c>
      <c r="G25" s="20">
        <v>1.96</v>
      </c>
    </row>
    <row r="26" spans="1:7" ht="15.6" x14ac:dyDescent="0.55000000000000004">
      <c r="A26" s="5" t="s">
        <v>42</v>
      </c>
      <c r="B26" s="20">
        <v>205.3</v>
      </c>
      <c r="C26" s="20">
        <v>205.52</v>
      </c>
      <c r="D26" s="20">
        <v>192.13</v>
      </c>
      <c r="E26" s="20">
        <v>185.13</v>
      </c>
      <c r="F26" s="20">
        <v>185.13</v>
      </c>
      <c r="G26" s="20">
        <v>181.07</v>
      </c>
    </row>
    <row r="27" spans="1:7" ht="15.6" x14ac:dyDescent="0.55000000000000004">
      <c r="A27" s="5" t="s">
        <v>33</v>
      </c>
      <c r="B27" s="20">
        <v>17.89</v>
      </c>
      <c r="C27" s="20">
        <v>17.5</v>
      </c>
      <c r="D27" s="20">
        <v>22.74</v>
      </c>
      <c r="E27" s="20">
        <v>26.5</v>
      </c>
      <c r="F27" s="20">
        <v>30.39</v>
      </c>
      <c r="G27" s="20">
        <v>30.39</v>
      </c>
    </row>
    <row r="28" spans="1:7" ht="15.6" x14ac:dyDescent="0.55000000000000004">
      <c r="A28" s="5" t="s">
        <v>34</v>
      </c>
      <c r="B28" s="20">
        <v>0.37</v>
      </c>
      <c r="C28" s="20">
        <v>0.37</v>
      </c>
      <c r="D28" s="20">
        <v>0.28000000000000003</v>
      </c>
      <c r="E28" s="20">
        <v>0.26</v>
      </c>
      <c r="F28" s="20">
        <v>0.12</v>
      </c>
      <c r="G28" s="20">
        <v>0.12</v>
      </c>
    </row>
    <row r="29" spans="1:7" ht="15.6" x14ac:dyDescent="0.55000000000000004">
      <c r="A29" s="9"/>
      <c r="B29" s="10"/>
      <c r="C29" s="10"/>
      <c r="D29" s="10"/>
      <c r="E29" s="10"/>
      <c r="F29" s="10"/>
      <c r="G29" s="10"/>
    </row>
    <row r="30" spans="1:7" ht="15.6" x14ac:dyDescent="0.55000000000000004">
      <c r="A30" s="2" t="s">
        <v>35</v>
      </c>
      <c r="B30" s="4">
        <v>43800</v>
      </c>
      <c r="C30" s="4">
        <v>44166</v>
      </c>
      <c r="D30" s="4">
        <v>44531</v>
      </c>
      <c r="E30" s="4">
        <v>44896</v>
      </c>
      <c r="F30" s="4">
        <v>45261</v>
      </c>
      <c r="G30" s="4">
        <v>45657</v>
      </c>
    </row>
    <row r="31" spans="1:7" ht="15.6" x14ac:dyDescent="0.55000000000000004">
      <c r="A31" s="5" t="s">
        <v>36</v>
      </c>
      <c r="B31" s="20">
        <v>0.57999999999999996</v>
      </c>
      <c r="C31" s="20">
        <v>0.59</v>
      </c>
      <c r="D31" s="20">
        <v>0.59</v>
      </c>
      <c r="E31" s="20">
        <v>0.39</v>
      </c>
      <c r="F31" s="20">
        <v>0.82</v>
      </c>
      <c r="G31" s="20">
        <v>0.93</v>
      </c>
    </row>
    <row r="32" spans="1:7" ht="15.6" x14ac:dyDescent="0.55000000000000004">
      <c r="A32" s="5" t="s">
        <v>37</v>
      </c>
      <c r="B32" s="20">
        <v>-0.22</v>
      </c>
      <c r="C32" s="20">
        <v>-0.01</v>
      </c>
      <c r="D32" s="20">
        <v>-0.33</v>
      </c>
      <c r="E32" s="20">
        <v>-0.14000000000000001</v>
      </c>
      <c r="F32" s="20">
        <v>-0.3</v>
      </c>
      <c r="G32" s="20">
        <v>-0.24</v>
      </c>
    </row>
    <row r="33" spans="1:7" ht="15.6" x14ac:dyDescent="0.55000000000000004">
      <c r="A33" s="5" t="s">
        <v>38</v>
      </c>
      <c r="B33" s="20">
        <v>0.03</v>
      </c>
      <c r="C33" s="20">
        <v>-0.13</v>
      </c>
      <c r="D33" s="20">
        <v>-0.33</v>
      </c>
      <c r="E33" s="20">
        <v>-0.15</v>
      </c>
      <c r="F33" s="20">
        <v>-0.71</v>
      </c>
      <c r="G33" s="20">
        <v>-0.41</v>
      </c>
    </row>
    <row r="34" spans="1:7" ht="15.6" x14ac:dyDescent="0.55000000000000004">
      <c r="A34" s="5" t="s">
        <v>39</v>
      </c>
      <c r="B34" s="20">
        <v>0.26</v>
      </c>
      <c r="C34" s="20">
        <v>0.23</v>
      </c>
      <c r="D34" s="20">
        <v>0.21</v>
      </c>
      <c r="E34" s="20">
        <v>0.27</v>
      </c>
      <c r="F34" s="20">
        <v>0.3</v>
      </c>
      <c r="G34" s="20">
        <v>0.45</v>
      </c>
    </row>
    <row r="35" spans="1:7" ht="15.6" x14ac:dyDescent="0.55000000000000004">
      <c r="A35" s="5" t="s">
        <v>40</v>
      </c>
      <c r="B35" s="20">
        <v>0.36</v>
      </c>
      <c r="C35" s="20">
        <v>0.38</v>
      </c>
      <c r="D35" s="20">
        <v>0.36</v>
      </c>
      <c r="E35" s="20">
        <v>0.41</v>
      </c>
      <c r="F35" s="20">
        <v>0.64</v>
      </c>
      <c r="G35" s="20">
        <v>0.55000000000000004</v>
      </c>
    </row>
    <row r="36" spans="1:7" ht="15.6" x14ac:dyDescent="0.55000000000000004">
      <c r="A36" s="5" t="s">
        <v>41</v>
      </c>
      <c r="B36" s="20">
        <v>0.39</v>
      </c>
      <c r="C36" s="20">
        <v>0.45</v>
      </c>
      <c r="D36" s="20">
        <v>-7.0000000000000007E-2</v>
      </c>
      <c r="E36" s="20">
        <v>0.1</v>
      </c>
      <c r="F36" s="20">
        <v>-0.19</v>
      </c>
      <c r="G36" s="20">
        <v>0.28000000000000003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1494-C811-4F19-A37C-A35AC15A1124}">
  <dimension ref="A1:M36"/>
  <sheetViews>
    <sheetView workbookViewId="0">
      <selection activeCell="M27" sqref="M27"/>
    </sheetView>
  </sheetViews>
  <sheetFormatPr defaultRowHeight="14.4" x14ac:dyDescent="0.55000000000000004"/>
  <cols>
    <col min="1" max="1" width="36.83984375" bestFit="1" customWidth="1"/>
    <col min="2" max="4" width="7.83984375" bestFit="1" customWidth="1"/>
    <col min="5" max="5" width="8.89453125" customWidth="1"/>
    <col min="6" max="6" width="8.89453125" bestFit="1" customWidth="1"/>
    <col min="7" max="7" width="11.1015625" bestFit="1" customWidth="1"/>
  </cols>
  <sheetData>
    <row r="1" spans="1:8" ht="15.6" x14ac:dyDescent="0.6">
      <c r="A1" s="12" t="s">
        <v>6</v>
      </c>
      <c r="B1" s="13">
        <v>44197</v>
      </c>
      <c r="C1" s="13">
        <v>44562</v>
      </c>
      <c r="D1" s="13">
        <v>44927</v>
      </c>
      <c r="E1" s="13">
        <v>45292</v>
      </c>
      <c r="F1" s="13">
        <v>45658</v>
      </c>
      <c r="G1" s="13" t="s">
        <v>43</v>
      </c>
    </row>
    <row r="2" spans="1:8" ht="15.6" x14ac:dyDescent="0.6">
      <c r="A2" s="14" t="s">
        <v>8</v>
      </c>
      <c r="B2" s="20">
        <v>16.68</v>
      </c>
      <c r="C2" s="20">
        <v>26.91</v>
      </c>
      <c r="D2" s="20">
        <v>26.97</v>
      </c>
      <c r="E2" s="20">
        <v>60.92</v>
      </c>
      <c r="F2" s="20">
        <v>130.5</v>
      </c>
      <c r="G2" s="20">
        <v>148.52000000000001</v>
      </c>
    </row>
    <row r="3" spans="1:8" ht="15.6" x14ac:dyDescent="0.6">
      <c r="A3" s="15" t="s">
        <v>9</v>
      </c>
      <c r="B3" s="26">
        <v>0.52729999999999999</v>
      </c>
      <c r="C3" s="26">
        <v>0.61399999999999999</v>
      </c>
      <c r="D3" s="26">
        <v>2.2000000000000001E-3</v>
      </c>
      <c r="E3" s="26">
        <v>1.2585</v>
      </c>
      <c r="F3" s="26">
        <v>1.1419999999999999</v>
      </c>
      <c r="G3" s="26">
        <v>0.86170000000000002</v>
      </c>
    </row>
    <row r="4" spans="1:8" ht="15.6" x14ac:dyDescent="0.6">
      <c r="A4" s="14" t="s">
        <v>10</v>
      </c>
      <c r="B4" s="20">
        <v>10.4</v>
      </c>
      <c r="C4" s="20">
        <v>17.48</v>
      </c>
      <c r="D4" s="20">
        <v>15.36</v>
      </c>
      <c r="E4" s="20">
        <v>44.3</v>
      </c>
      <c r="F4" s="20">
        <v>97.86</v>
      </c>
      <c r="G4" s="20">
        <v>104.12</v>
      </c>
    </row>
    <row r="5" spans="1:8" ht="15.6" x14ac:dyDescent="0.6">
      <c r="A5" s="15" t="s">
        <v>11</v>
      </c>
      <c r="B5" s="22">
        <v>0.62339999999999995</v>
      </c>
      <c r="C5" s="22">
        <v>0.64929999999999999</v>
      </c>
      <c r="D5" s="22">
        <v>0.56930000000000003</v>
      </c>
      <c r="E5" s="22">
        <v>0.72719999999999996</v>
      </c>
      <c r="F5" s="21">
        <v>0.74990000000000001</v>
      </c>
      <c r="G5" s="21">
        <v>0.70109999999999995</v>
      </c>
      <c r="H5" s="20"/>
    </row>
    <row r="6" spans="1:8" ht="15.6" x14ac:dyDescent="0.6">
      <c r="A6" s="14" t="s">
        <v>12</v>
      </c>
      <c r="B6" s="20">
        <v>4.53</v>
      </c>
      <c r="C6" s="20">
        <v>10.039999999999999</v>
      </c>
      <c r="D6" s="20">
        <v>5.58</v>
      </c>
      <c r="E6" s="20">
        <v>32.97</v>
      </c>
      <c r="F6" s="20">
        <v>81.45</v>
      </c>
      <c r="G6" s="20">
        <v>86.18</v>
      </c>
    </row>
    <row r="7" spans="1:8" ht="15.6" x14ac:dyDescent="0.6">
      <c r="A7" s="15" t="s">
        <v>13</v>
      </c>
      <c r="B7" s="26">
        <v>0.27179999999999999</v>
      </c>
      <c r="C7" s="26">
        <v>0.37309999999999999</v>
      </c>
      <c r="D7" s="26">
        <v>0.20680000000000001</v>
      </c>
      <c r="E7" s="26">
        <v>0.54120000000000001</v>
      </c>
      <c r="F7" s="26">
        <v>0.62419999999999998</v>
      </c>
      <c r="G7" s="26">
        <v>0.58030000000000004</v>
      </c>
    </row>
    <row r="8" spans="1:8" ht="15.6" x14ac:dyDescent="0.6">
      <c r="A8" s="14" t="s">
        <v>14</v>
      </c>
      <c r="B8" s="20">
        <v>4.54</v>
      </c>
      <c r="C8" s="20">
        <v>10.15</v>
      </c>
      <c r="D8" s="20">
        <v>4.18</v>
      </c>
      <c r="E8" s="20">
        <v>33.21</v>
      </c>
      <c r="F8" s="20">
        <v>82.49</v>
      </c>
      <c r="G8" s="20">
        <v>86.96</v>
      </c>
    </row>
    <row r="9" spans="1:8" ht="15.6" x14ac:dyDescent="0.6">
      <c r="A9" s="15" t="s">
        <v>15</v>
      </c>
      <c r="B9" s="26">
        <v>0.27200000000000002</v>
      </c>
      <c r="C9" s="26">
        <v>0.37709999999999999</v>
      </c>
      <c r="D9" s="26">
        <v>0.15479999999999999</v>
      </c>
      <c r="E9" s="26">
        <v>0.54510000000000003</v>
      </c>
      <c r="F9" s="26">
        <v>0.6321</v>
      </c>
      <c r="G9" s="26">
        <v>0.58550000000000002</v>
      </c>
    </row>
    <row r="10" spans="1:8" ht="15.6" x14ac:dyDescent="0.6">
      <c r="A10" s="14" t="s">
        <v>16</v>
      </c>
      <c r="B10" s="20">
        <v>5.63</v>
      </c>
      <c r="C10" s="20">
        <v>11.32</v>
      </c>
      <c r="D10" s="20">
        <v>5.72</v>
      </c>
      <c r="E10" s="20">
        <v>34.72</v>
      </c>
      <c r="F10" s="20">
        <v>84.38</v>
      </c>
      <c r="G10" s="20">
        <v>89.03</v>
      </c>
    </row>
    <row r="11" spans="1:8" ht="15.6" x14ac:dyDescent="0.6">
      <c r="A11" s="15" t="s">
        <v>17</v>
      </c>
      <c r="B11" s="26">
        <v>0.33789999999999998</v>
      </c>
      <c r="C11" s="26">
        <v>0.42070000000000002</v>
      </c>
      <c r="D11" s="26">
        <v>0.21199999999999999</v>
      </c>
      <c r="E11" s="26">
        <v>0.56989999999999996</v>
      </c>
      <c r="F11" s="26">
        <v>0.64659999999999995</v>
      </c>
      <c r="G11" s="26">
        <v>0.59940000000000004</v>
      </c>
    </row>
    <row r="12" spans="1:8" ht="15.6" x14ac:dyDescent="0.6">
      <c r="A12" s="14" t="s">
        <v>18</v>
      </c>
      <c r="B12" s="20">
        <v>4.33</v>
      </c>
      <c r="C12" s="20">
        <v>9.75</v>
      </c>
      <c r="D12" s="20">
        <v>4.37</v>
      </c>
      <c r="E12" s="20">
        <v>29.76</v>
      </c>
      <c r="F12" s="20">
        <v>72.88</v>
      </c>
      <c r="G12" s="20">
        <v>76.77</v>
      </c>
    </row>
    <row r="13" spans="1:8" ht="15.6" x14ac:dyDescent="0.6">
      <c r="A13" s="15" t="s">
        <v>19</v>
      </c>
      <c r="B13" s="26">
        <v>0.25979999999999998</v>
      </c>
      <c r="C13" s="26">
        <v>0.36230000000000001</v>
      </c>
      <c r="D13" s="26">
        <v>0.16189999999999999</v>
      </c>
      <c r="E13" s="26">
        <v>0.48849999999999999</v>
      </c>
      <c r="F13" s="26">
        <v>0.5585</v>
      </c>
      <c r="G13" s="26">
        <v>0.51690000000000003</v>
      </c>
    </row>
    <row r="14" spans="1:8" ht="15.6" x14ac:dyDescent="0.6">
      <c r="A14" s="14" t="s">
        <v>20</v>
      </c>
      <c r="B14" s="20">
        <v>0.18</v>
      </c>
      <c r="C14" s="20">
        <v>0.39</v>
      </c>
      <c r="D14" s="20">
        <v>0.18</v>
      </c>
      <c r="E14" s="20">
        <v>1.21</v>
      </c>
      <c r="F14" s="20">
        <v>2.97</v>
      </c>
      <c r="G14" s="20">
        <v>3.14</v>
      </c>
    </row>
    <row r="15" spans="1:8" ht="15.6" x14ac:dyDescent="0.6">
      <c r="A15" s="14" t="s">
        <v>21</v>
      </c>
      <c r="B15" s="20">
        <v>0.17</v>
      </c>
      <c r="C15" s="20">
        <v>0.39</v>
      </c>
      <c r="D15" s="20">
        <v>0.17</v>
      </c>
      <c r="E15" s="20">
        <v>1.19</v>
      </c>
      <c r="F15" s="20">
        <v>2.94</v>
      </c>
      <c r="G15" s="20">
        <v>3.1</v>
      </c>
    </row>
    <row r="16" spans="1:8" ht="15.6" x14ac:dyDescent="0.6">
      <c r="A16" s="14" t="s">
        <v>22</v>
      </c>
      <c r="B16" s="20">
        <v>0.25</v>
      </c>
      <c r="C16" s="20">
        <v>0.44</v>
      </c>
      <c r="D16" s="20">
        <v>0.33</v>
      </c>
      <c r="E16" s="20">
        <v>1.3</v>
      </c>
      <c r="F16" s="20">
        <v>2.99</v>
      </c>
      <c r="G16" s="20">
        <v>3.19</v>
      </c>
    </row>
    <row r="17" spans="1:13" ht="15.6" x14ac:dyDescent="0.6">
      <c r="A17" s="14" t="s">
        <v>23</v>
      </c>
      <c r="B17" s="20">
        <v>0.02</v>
      </c>
      <c r="C17" s="20">
        <v>0.02</v>
      </c>
      <c r="D17" s="20">
        <v>0.02</v>
      </c>
      <c r="E17" s="20">
        <v>0.02</v>
      </c>
      <c r="F17" s="20">
        <v>0.03</v>
      </c>
      <c r="G17" s="20">
        <v>0.04</v>
      </c>
    </row>
    <row r="18" spans="1:13" ht="15.6" x14ac:dyDescent="0.6">
      <c r="A18" s="16"/>
      <c r="B18" s="17"/>
      <c r="C18" s="17"/>
      <c r="D18" s="17"/>
      <c r="E18" s="17"/>
      <c r="F18" s="17"/>
      <c r="G18" s="17"/>
    </row>
    <row r="19" spans="1:13" ht="15.6" x14ac:dyDescent="0.6">
      <c r="A19" s="12" t="s">
        <v>25</v>
      </c>
      <c r="B19" s="13">
        <v>44197</v>
      </c>
      <c r="C19" s="13">
        <v>44562</v>
      </c>
      <c r="D19" s="13">
        <v>44927</v>
      </c>
      <c r="E19" s="13">
        <v>45292</v>
      </c>
      <c r="F19" s="13">
        <v>45658</v>
      </c>
      <c r="G19" s="13" t="s">
        <v>43</v>
      </c>
    </row>
    <row r="20" spans="1:13" ht="15.6" x14ac:dyDescent="0.6">
      <c r="A20" s="14" t="s">
        <v>26</v>
      </c>
      <c r="B20" s="20">
        <v>28.79</v>
      </c>
      <c r="C20" s="20">
        <v>44.19</v>
      </c>
      <c r="D20" s="20">
        <v>41.18</v>
      </c>
      <c r="E20" s="20">
        <v>65.73</v>
      </c>
      <c r="F20" s="20">
        <v>111.6</v>
      </c>
      <c r="G20" s="20">
        <v>125.25</v>
      </c>
    </row>
    <row r="21" spans="1:13" ht="15.6" x14ac:dyDescent="0.6">
      <c r="A21" s="14" t="s">
        <v>27</v>
      </c>
      <c r="B21" s="20">
        <v>11.9</v>
      </c>
      <c r="C21" s="20">
        <v>17.579999999999998</v>
      </c>
      <c r="D21" s="20">
        <v>19.079999999999998</v>
      </c>
      <c r="E21" s="20">
        <v>22.75</v>
      </c>
      <c r="F21" s="20">
        <v>32.270000000000003</v>
      </c>
      <c r="G21" s="20">
        <v>41.41</v>
      </c>
    </row>
    <row r="22" spans="1:13" ht="15.6" x14ac:dyDescent="0.6">
      <c r="A22" s="14" t="s">
        <v>28</v>
      </c>
      <c r="B22" s="20">
        <v>7.72</v>
      </c>
      <c r="C22" s="20">
        <v>11.69</v>
      </c>
      <c r="D22" s="20">
        <v>12.03</v>
      </c>
      <c r="E22" s="20">
        <v>11.06</v>
      </c>
      <c r="F22" s="20">
        <v>10.27</v>
      </c>
      <c r="G22" s="20">
        <v>10.29</v>
      </c>
    </row>
    <row r="23" spans="1:13" ht="15.6" x14ac:dyDescent="0.6">
      <c r="A23" s="14" t="s">
        <v>29</v>
      </c>
      <c r="B23" s="20">
        <v>16.89</v>
      </c>
      <c r="C23" s="20">
        <v>26.61</v>
      </c>
      <c r="D23" s="20">
        <v>22.1</v>
      </c>
      <c r="E23" s="20">
        <v>42.98</v>
      </c>
      <c r="F23" s="20">
        <v>79.33</v>
      </c>
      <c r="G23" s="20">
        <v>83.84</v>
      </c>
    </row>
    <row r="24" spans="1:13" ht="15.6" x14ac:dyDescent="0.6">
      <c r="A24" s="14" t="s">
        <v>30</v>
      </c>
      <c r="B24" s="20">
        <v>0.85</v>
      </c>
      <c r="C24" s="20">
        <v>1.99</v>
      </c>
      <c r="D24" s="20">
        <v>3.39</v>
      </c>
      <c r="E24" s="20">
        <v>7.28</v>
      </c>
      <c r="F24" s="20">
        <v>8.59</v>
      </c>
      <c r="G24" s="20">
        <v>15.23</v>
      </c>
    </row>
    <row r="25" spans="1:13" ht="15.6" x14ac:dyDescent="0.6">
      <c r="A25" s="14" t="s">
        <v>31</v>
      </c>
      <c r="B25" s="20">
        <v>12.13</v>
      </c>
      <c r="C25" s="20">
        <v>24.49</v>
      </c>
      <c r="D25" s="20">
        <v>16.510000000000002</v>
      </c>
      <c r="E25" s="20">
        <v>33.71</v>
      </c>
      <c r="F25" s="20">
        <v>62.08</v>
      </c>
      <c r="G25" s="20">
        <v>63.39</v>
      </c>
      <c r="H25" s="20"/>
      <c r="I25" s="20"/>
      <c r="J25" s="20"/>
      <c r="K25" s="20"/>
      <c r="L25" s="20"/>
      <c r="M25" s="20"/>
    </row>
    <row r="26" spans="1:13" ht="15.6" x14ac:dyDescent="0.6">
      <c r="A26" s="14" t="s">
        <v>32</v>
      </c>
      <c r="B26" s="20">
        <v>25</v>
      </c>
      <c r="C26" s="20">
        <v>24.6</v>
      </c>
      <c r="D26" s="20">
        <v>24.7</v>
      </c>
      <c r="E26" s="20">
        <v>24.49</v>
      </c>
      <c r="F26" s="20">
        <v>24.39</v>
      </c>
      <c r="G26" s="20">
        <v>24.39</v>
      </c>
    </row>
    <row r="27" spans="1:13" ht="15.6" x14ac:dyDescent="0.6">
      <c r="A27" s="14" t="s">
        <v>33</v>
      </c>
      <c r="B27" s="20">
        <v>0.68</v>
      </c>
      <c r="C27" s="20">
        <v>1.06</v>
      </c>
      <c r="D27" s="20">
        <v>0.9</v>
      </c>
      <c r="E27" s="20">
        <v>1.74</v>
      </c>
      <c r="F27" s="20">
        <v>3.24</v>
      </c>
      <c r="G27" s="20">
        <v>3.44</v>
      </c>
    </row>
    <row r="28" spans="1:13" ht="15.6" x14ac:dyDescent="0.6">
      <c r="A28" s="14" t="s">
        <v>34</v>
      </c>
      <c r="B28" s="20">
        <v>0.46</v>
      </c>
      <c r="C28" s="20">
        <v>0.44</v>
      </c>
      <c r="D28" s="20">
        <v>0.54</v>
      </c>
      <c r="E28" s="20">
        <v>0.26</v>
      </c>
      <c r="F28" s="20">
        <v>0.13</v>
      </c>
      <c r="G28" s="20">
        <v>0.12</v>
      </c>
    </row>
    <row r="29" spans="1:13" ht="15.6" x14ac:dyDescent="0.6">
      <c r="A29" s="16"/>
      <c r="B29" s="17"/>
      <c r="C29" s="17"/>
      <c r="D29" s="17"/>
      <c r="E29" s="17"/>
      <c r="F29" s="17"/>
      <c r="G29" s="17"/>
    </row>
    <row r="30" spans="1:13" ht="31.2" x14ac:dyDescent="0.6">
      <c r="A30" s="12" t="s">
        <v>35</v>
      </c>
      <c r="B30" s="13">
        <v>44197</v>
      </c>
      <c r="C30" s="13">
        <v>44562</v>
      </c>
      <c r="D30" s="13">
        <v>44927</v>
      </c>
      <c r="E30" s="13">
        <v>45292</v>
      </c>
      <c r="F30" s="13">
        <v>45658</v>
      </c>
      <c r="G30" s="13" t="s">
        <v>43</v>
      </c>
    </row>
    <row r="31" spans="1:13" ht="15.6" x14ac:dyDescent="0.6">
      <c r="A31" s="14" t="s">
        <v>36</v>
      </c>
      <c r="B31" s="20">
        <v>5.82</v>
      </c>
      <c r="C31" s="20">
        <v>9.11</v>
      </c>
      <c r="D31" s="20">
        <v>5.64</v>
      </c>
      <c r="E31" s="20">
        <v>28.09</v>
      </c>
      <c r="F31" s="20">
        <v>64.09</v>
      </c>
      <c r="G31" s="20">
        <v>76.16</v>
      </c>
    </row>
    <row r="32" spans="1:13" ht="15.6" x14ac:dyDescent="0.6">
      <c r="A32" s="14" t="s">
        <v>37</v>
      </c>
      <c r="B32" s="20">
        <v>-19.68</v>
      </c>
      <c r="C32" s="20">
        <v>-9.83</v>
      </c>
      <c r="D32" s="20">
        <v>7.38</v>
      </c>
      <c r="E32" s="20">
        <v>-10.57</v>
      </c>
      <c r="F32" s="20">
        <v>-20.420000000000002</v>
      </c>
      <c r="G32" s="20">
        <v>-19.940000000000001</v>
      </c>
    </row>
    <row r="33" spans="1:7" ht="15.6" x14ac:dyDescent="0.6">
      <c r="A33" s="14" t="s">
        <v>38</v>
      </c>
      <c r="B33" s="20">
        <v>3.8</v>
      </c>
      <c r="C33" s="20">
        <v>1.87</v>
      </c>
      <c r="D33" s="20">
        <v>-11.62</v>
      </c>
      <c r="E33" s="20">
        <v>-13.63</v>
      </c>
      <c r="F33" s="20">
        <v>-42.36</v>
      </c>
      <c r="G33" s="20">
        <v>-48.57</v>
      </c>
    </row>
    <row r="34" spans="1:7" ht="15.6" x14ac:dyDescent="0.6">
      <c r="A34" s="14" t="s">
        <v>39</v>
      </c>
      <c r="B34" s="20">
        <v>1.1299999999999999</v>
      </c>
      <c r="C34" s="20">
        <v>0.98</v>
      </c>
      <c r="D34" s="20">
        <v>1.83</v>
      </c>
      <c r="E34" s="20">
        <v>1.07</v>
      </c>
      <c r="F34" s="20">
        <v>3.24</v>
      </c>
      <c r="G34" s="20">
        <v>4.09</v>
      </c>
    </row>
    <row r="35" spans="1:7" ht="15.6" x14ac:dyDescent="0.6">
      <c r="A35" s="14" t="s">
        <v>40</v>
      </c>
      <c r="B35" s="20">
        <v>5.4</v>
      </c>
      <c r="C35" s="20">
        <v>11.5</v>
      </c>
      <c r="D35" s="20">
        <v>6.01</v>
      </c>
      <c r="E35" s="20">
        <v>30.74</v>
      </c>
      <c r="F35" s="20">
        <v>70.239999999999995</v>
      </c>
      <c r="G35" s="20">
        <v>73.63</v>
      </c>
    </row>
    <row r="36" spans="1:7" ht="15.6" x14ac:dyDescent="0.6">
      <c r="A36" s="14" t="s">
        <v>41</v>
      </c>
      <c r="B36" s="20">
        <v>-10.050000000000001</v>
      </c>
      <c r="C36" s="20">
        <v>1.1399999999999999</v>
      </c>
      <c r="D36" s="20">
        <v>1.4</v>
      </c>
      <c r="E36" s="20">
        <v>3.89</v>
      </c>
      <c r="F36" s="20">
        <v>1.31</v>
      </c>
      <c r="G36" s="20">
        <v>7.65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C09613-307F-4E44-924F-DE7EE80DEE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AMZN</vt:lpstr>
      <vt:lpstr>BPER</vt:lpstr>
      <vt:lpstr>BUZZI</vt:lpstr>
      <vt:lpstr>NVDA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Campus</dc:creator>
  <cp:lastModifiedBy>Daniele Campus</cp:lastModifiedBy>
  <dcterms:created xsi:type="dcterms:W3CDTF">2025-06-01T18:34:10Z</dcterms:created>
  <dcterms:modified xsi:type="dcterms:W3CDTF">2025-06-02T19:56:38Z</dcterms:modified>
</cp:coreProperties>
</file>